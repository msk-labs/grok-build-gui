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视频清单" sheetId="2" state="visible" r:id="rId2"/>
    <sheet xmlns:r="http://schemas.openxmlformats.org/officeDocument/2006/relationships" name="内容方向统计" sheetId="3" state="visible" r:id="rId3"/>
  </sheets>
  <definedNames>
    <definedName name="_xlnm._FilterDatabase" localSheetId="1" hidden="1">'视频清单'!$A$1:$M$61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B1D24"/>
      <sz val="18"/>
    </font>
    <font>
      <name val="Arial"/>
      <color rgb="006B7280"/>
      <sz val="10"/>
    </font>
    <font>
      <name val="Arial"/>
      <b val="1"/>
      <color rgb="00FFFFFF"/>
      <sz val="11"/>
    </font>
    <font>
      <name val="Arial"/>
      <color rgb="001B1D24"/>
      <sz val="10.5"/>
    </font>
    <font>
      <name val="Arial"/>
      <b val="1"/>
      <color rgb="001B1D24"/>
      <sz val="10.5"/>
    </font>
    <font>
      <name val="Arial"/>
      <b val="1"/>
      <color rgb="001B1D24"/>
      <sz val="11"/>
    </font>
    <font>
      <name val="Arial"/>
      <color rgb="006B7280"/>
      <sz val="9.5"/>
    </font>
    <font>
      <name val="Arial"/>
      <color rgb="001B1D24"/>
      <sz val="10"/>
    </font>
    <font>
      <name val="Arial"/>
      <color rgb="000563C1"/>
      <sz val="9"/>
      <u val="single"/>
    </font>
    <font>
      <name val="Arial"/>
      <b val="1"/>
      <color rgb="001B1D24"/>
      <sz val="10"/>
    </font>
  </fonts>
  <fills count="4">
    <fill>
      <patternFill/>
    </fill>
    <fill>
      <patternFill patternType="gray125"/>
    </fill>
    <fill>
      <patternFill patternType="solid">
        <fgColor rgb="001B1D24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8DBE2"/>
      </left>
      <right style="thin">
        <color rgb="00D8DBE2"/>
      </right>
      <top style="thin">
        <color rgb="00D8DBE2"/>
      </top>
      <bottom style="thin">
        <color rgb="00D8DB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3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1" pivotButton="0" quotePrefix="0" xfId="0"/>
    <xf numFmtId="1" fontId="8" fillId="0" borderId="1" pivotButton="0" quotePrefix="0" xfId="0"/>
    <xf numFmtId="166" fontId="8" fillId="0" borderId="1" pivotButton="0" quotePrefix="0" xfId="0"/>
    <xf numFmtId="3" fontId="8" fillId="0" borderId="1" pivotButton="0" quotePrefix="0" xfId="0"/>
    <xf numFmtId="10" fontId="8" fillId="0" borderId="1" pivotButton="0" quotePrefix="0" xfId="0"/>
    <xf numFmtId="0" fontId="10" fillId="3" borderId="1" pivotButton="0" quotePrefix="0" xfId="0"/>
    <xf numFmtId="1" fontId="10" fillId="3" borderId="1" pivotButton="0" quotePrefix="0" xfId="0"/>
    <xf numFmtId="166" fontId="10" fillId="3" borderId="1" pivotButton="0" quotePrefix="0" xfId="0"/>
    <xf numFmtId="3" fontId="10" fillId="3" borderId="1" pivotButton="0" quotePrefix="0" xfId="0"/>
    <xf numFmtId="1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各内容方向的视频数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'内容方向统计'!B1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'内容方向统计'!$A$2:$A$12</f>
            </numRef>
          </cat>
          <val>
            <numRef>
              <f>'内容方向统计'!$B$2:$B$12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各内容方向的播放量占比</a:t>
            </a:r>
          </a:p>
        </rich>
      </tx>
    </title>
    <plotArea>
      <pieChart>
        <varyColors val="1"/>
        <ser>
          <idx val="0"/>
          <order val="0"/>
          <tx>
            <strRef>
              <f>'内容方向统计'!D1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'内容方向统计'!$A$2:$A$12</f>
            </numRef>
          </cat>
          <val>
            <numRef>
              <f>'内容方向统计'!$D$2:$D$12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6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46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ilibili.com/video/BV1wj3M69EuL" TargetMode="External" Id="rId1"/><Relationship Type="http://schemas.openxmlformats.org/officeDocument/2006/relationships/hyperlink" Target="https://www.bilibili.com/video/BV1kbKb6qEba" TargetMode="External" Id="rId2"/><Relationship Type="http://schemas.openxmlformats.org/officeDocument/2006/relationships/hyperlink" Target="https://www.bilibili.com/video/BV1iKgv6HEgJ" TargetMode="External" Id="rId3"/><Relationship Type="http://schemas.openxmlformats.org/officeDocument/2006/relationships/hyperlink" Target="https://www.bilibili.com/video/BV1n23F6wEHg" TargetMode="External" Id="rId4"/><Relationship Type="http://schemas.openxmlformats.org/officeDocument/2006/relationships/hyperlink" Target="https://www.bilibili.com/video/BV1Dr3g65EJ2" TargetMode="External" Id="rId5"/><Relationship Type="http://schemas.openxmlformats.org/officeDocument/2006/relationships/hyperlink" Target="https://www.bilibili.com/video/BV1sogS6yEpm" TargetMode="External" Id="rId6"/><Relationship Type="http://schemas.openxmlformats.org/officeDocument/2006/relationships/hyperlink" Target="https://www.bilibili.com/video/BV1c7GA6kEqN" TargetMode="External" Id="rId7"/><Relationship Type="http://schemas.openxmlformats.org/officeDocument/2006/relationships/hyperlink" Target="https://www.bilibili.com/video/BV1ry3w6gEns" TargetMode="External" Id="rId8"/><Relationship Type="http://schemas.openxmlformats.org/officeDocument/2006/relationships/hyperlink" Target="https://www.bilibili.com/video/BV16ag96jE7L" TargetMode="External" Id="rId9"/><Relationship Type="http://schemas.openxmlformats.org/officeDocument/2006/relationships/hyperlink" Target="https://www.bilibili.com/video/BV1Nr3s6rE79" TargetMode="External" Id="rId10"/><Relationship Type="http://schemas.openxmlformats.org/officeDocument/2006/relationships/hyperlink" Target="https://www.bilibili.com/video/BV1WWgh6WE9D" TargetMode="External" Id="rId11"/><Relationship Type="http://schemas.openxmlformats.org/officeDocument/2006/relationships/hyperlink" Target="https://www.bilibili.com/video/BV13o7W6PEcJ" TargetMode="External" Id="rId12"/><Relationship Type="http://schemas.openxmlformats.org/officeDocument/2006/relationships/hyperlink" Target="https://www.bilibili.com/video/BV1WWM86mEyW" TargetMode="External" Id="rId13"/><Relationship Type="http://schemas.openxmlformats.org/officeDocument/2006/relationships/hyperlink" Target="https://www.bilibili.com/video/BV1hngq6SEaR" TargetMode="External" Id="rId14"/><Relationship Type="http://schemas.openxmlformats.org/officeDocument/2006/relationships/hyperlink" Target="https://www.bilibili.com/video/BV1EcMa63Epy" TargetMode="External" Id="rId15"/><Relationship Type="http://schemas.openxmlformats.org/officeDocument/2006/relationships/hyperlink" Target="https://www.bilibili.com/video/BV1bmKp6cERp" TargetMode="External" Id="rId16"/><Relationship Type="http://schemas.openxmlformats.org/officeDocument/2006/relationships/hyperlink" Target="https://www.bilibili.com/video/BV14x3u6iEvc" TargetMode="External" Id="rId17"/><Relationship Type="http://schemas.openxmlformats.org/officeDocument/2006/relationships/hyperlink" Target="https://www.bilibili.com/video/BV1Pt3D6jEob" TargetMode="External" Id="rId18"/><Relationship Type="http://schemas.openxmlformats.org/officeDocument/2006/relationships/hyperlink" Target="https://www.bilibili.com/video/BV1sWgY6wE2J" TargetMode="External" Id="rId19"/><Relationship Type="http://schemas.openxmlformats.org/officeDocument/2006/relationships/hyperlink" Target="https://www.bilibili.com/video/BV1zwNi6LENs" TargetMode="External" Id="rId20"/><Relationship Type="http://schemas.openxmlformats.org/officeDocument/2006/relationships/hyperlink" Target="https://www.bilibili.com/video/BV19aNq6CEbk" TargetMode="External" Id="rId21"/><Relationship Type="http://schemas.openxmlformats.org/officeDocument/2006/relationships/hyperlink" Target="https://www.bilibili.com/video/BV1gr3g6LEbA" TargetMode="External" Id="rId22"/><Relationship Type="http://schemas.openxmlformats.org/officeDocument/2006/relationships/hyperlink" Target="https://www.bilibili.com/video/BV1eH3m6XEhN" TargetMode="External" Id="rId23"/><Relationship Type="http://schemas.openxmlformats.org/officeDocument/2006/relationships/hyperlink" Target="https://www.bilibili.com/video/BV19tge67EQ4" TargetMode="External" Id="rId24"/><Relationship Type="http://schemas.openxmlformats.org/officeDocument/2006/relationships/hyperlink" Target="https://www.bilibili.com/video/BV1hy3Y6rE44" TargetMode="External" Id="rId25"/><Relationship Type="http://schemas.openxmlformats.org/officeDocument/2006/relationships/hyperlink" Target="https://www.bilibili.com/video/BV1RMGP6iE6E" TargetMode="External" Id="rId26"/><Relationship Type="http://schemas.openxmlformats.org/officeDocument/2006/relationships/hyperlink" Target="https://www.bilibili.com/video/BV1KTMg6ZE3z" TargetMode="External" Id="rId27"/><Relationship Type="http://schemas.openxmlformats.org/officeDocument/2006/relationships/hyperlink" Target="https://www.bilibili.com/video/BV1puge6hEDe" TargetMode="External" Id="rId28"/><Relationship Type="http://schemas.openxmlformats.org/officeDocument/2006/relationships/hyperlink" Target="https://www.bilibili.com/video/BV1gd3N68Ejk" TargetMode="External" Id="rId29"/><Relationship Type="http://schemas.openxmlformats.org/officeDocument/2006/relationships/hyperlink" Target="https://www.bilibili.com/video/BV1vM386zEC8" TargetMode="External" Id="rId30"/><Relationship Type="http://schemas.openxmlformats.org/officeDocument/2006/relationships/hyperlink" Target="https://www.bilibili.com/video/BV15Q3u6UEfW" TargetMode="External" Id="rId31"/><Relationship Type="http://schemas.openxmlformats.org/officeDocument/2006/relationships/hyperlink" Target="https://www.bilibili.com/video/BV1E8Gu6oEhM" TargetMode="External" Id="rId32"/><Relationship Type="http://schemas.openxmlformats.org/officeDocument/2006/relationships/hyperlink" Target="https://www.bilibili.com/video/BV1743y6XERB" TargetMode="External" Id="rId33"/><Relationship Type="http://schemas.openxmlformats.org/officeDocument/2006/relationships/hyperlink" Target="https://www.bilibili.com/video/BV1iwG369ENB" TargetMode="External" Id="rId34"/><Relationship Type="http://schemas.openxmlformats.org/officeDocument/2006/relationships/hyperlink" Target="https://www.bilibili.com/video/BV1f23p6bED3" TargetMode="External" Id="rId35"/><Relationship Type="http://schemas.openxmlformats.org/officeDocument/2006/relationships/hyperlink" Target="https://www.bilibili.com/video/BV11Y3R6bEBL" TargetMode="External" Id="rId36"/><Relationship Type="http://schemas.openxmlformats.org/officeDocument/2006/relationships/hyperlink" Target="https://www.bilibili.com/video/BV1nNgD6uEV2" TargetMode="External" Id="rId37"/><Relationship Type="http://schemas.openxmlformats.org/officeDocument/2006/relationships/hyperlink" Target="https://www.bilibili.com/video/BV1u73t6REno" TargetMode="External" Id="rId38"/><Relationship Type="http://schemas.openxmlformats.org/officeDocument/2006/relationships/hyperlink" Target="https://www.bilibili.com/video/BV1W5GN6pEZz" TargetMode="External" Id="rId39"/><Relationship Type="http://schemas.openxmlformats.org/officeDocument/2006/relationships/hyperlink" Target="https://www.bilibili.com/video/BV1iBMD6ZE1R" TargetMode="External" Id="rId40"/><Relationship Type="http://schemas.openxmlformats.org/officeDocument/2006/relationships/hyperlink" Target="https://www.bilibili.com/video/BV1YbgC6zEvq" TargetMode="External" Id="rId41"/><Relationship Type="http://schemas.openxmlformats.org/officeDocument/2006/relationships/hyperlink" Target="https://www.bilibili.com/video/BV19oGK6rELx" TargetMode="External" Id="rId42"/><Relationship Type="http://schemas.openxmlformats.org/officeDocument/2006/relationships/hyperlink" Target="https://www.bilibili.com/video/BV1p5GN6HEmM" TargetMode="External" Id="rId43"/><Relationship Type="http://schemas.openxmlformats.org/officeDocument/2006/relationships/hyperlink" Target="https://www.bilibili.com/video/BV1ym3Q6HE1k" TargetMode="External" Id="rId44"/><Relationship Type="http://schemas.openxmlformats.org/officeDocument/2006/relationships/hyperlink" Target="https://www.bilibili.com/video/BV1xNGA6SE2y" TargetMode="External" Id="rId45"/><Relationship Type="http://schemas.openxmlformats.org/officeDocument/2006/relationships/hyperlink" Target="https://www.bilibili.com/video/BV1bVG36jEHg" TargetMode="External" Id="rId46"/><Relationship Type="http://schemas.openxmlformats.org/officeDocument/2006/relationships/hyperlink" Target="https://www.bilibili.com/video/BV12TGA6EEGA" TargetMode="External" Id="rId47"/><Relationship Type="http://schemas.openxmlformats.org/officeDocument/2006/relationships/hyperlink" Target="https://www.bilibili.com/video/BV1Rt3Q6NE1n" TargetMode="External" Id="rId48"/><Relationship Type="http://schemas.openxmlformats.org/officeDocument/2006/relationships/hyperlink" Target="https://www.bilibili.com/video/BV1qcGV6AEGj" TargetMode="External" Id="rId49"/><Relationship Type="http://schemas.openxmlformats.org/officeDocument/2006/relationships/hyperlink" Target="https://www.bilibili.com/video/BV1T93v6VEoS" TargetMode="External" Id="rId50"/><Relationship Type="http://schemas.openxmlformats.org/officeDocument/2006/relationships/hyperlink" Target="https://www.bilibili.com/video/BV1B83d6JEhb" TargetMode="External" Id="rId51"/><Relationship Type="http://schemas.openxmlformats.org/officeDocument/2006/relationships/hyperlink" Target="https://www.bilibili.com/video/BV1De3S6pE2d" TargetMode="External" Id="rId52"/><Relationship Type="http://schemas.openxmlformats.org/officeDocument/2006/relationships/hyperlink" Target="https://www.bilibili.com/video/BV1NcGg6iExL" TargetMode="External" Id="rId53"/><Relationship Type="http://schemas.openxmlformats.org/officeDocument/2006/relationships/hyperlink" Target="https://www.bilibili.com/video/BV17A3X63Epw" TargetMode="External" Id="rId54"/><Relationship Type="http://schemas.openxmlformats.org/officeDocument/2006/relationships/hyperlink" Target="https://www.bilibili.com/video/BV1ih3d6UEye" TargetMode="External" Id="rId55"/><Relationship Type="http://schemas.openxmlformats.org/officeDocument/2006/relationships/hyperlink" Target="https://www.bilibili.com/video/BV1Wm3S6CEHn" TargetMode="External" Id="rId56"/><Relationship Type="http://schemas.openxmlformats.org/officeDocument/2006/relationships/hyperlink" Target="https://www.bilibili.com/video/BV1VM3D6FEPu" TargetMode="External" Id="rId57"/><Relationship Type="http://schemas.openxmlformats.org/officeDocument/2006/relationships/hyperlink" Target="https://www.bilibili.com/video/BV1xf3Z6MEsD" TargetMode="External" Id="rId58"/><Relationship Type="http://schemas.openxmlformats.org/officeDocument/2006/relationships/hyperlink" Target="https://www.bilibili.com/video/BV14W3X6oEqP" TargetMode="External" Id="rId59"/><Relationship Type="http://schemas.openxmlformats.org/officeDocument/2006/relationships/hyperlink" Target="https://www.bilibili.com/video/BV1rDMQ6BEqo" TargetMode="External" Id="rId60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</cols>
  <sheetData>
    <row r="2" ht="26" customHeight="1">
      <c r="B2" s="1" t="inlineStr">
        <is>
          <t>B 站首页视频清单 · 数据概览</t>
        </is>
      </c>
    </row>
    <row r="3">
      <c r="B3" s="2" t="inlineStr">
        <is>
          <t>数据来源：bilibili 首页推荐流（网页端推荐接口）</t>
        </is>
      </c>
    </row>
    <row r="4">
      <c r="B4" s="2" t="inlineStr">
        <is>
          <t>采集时间：2026-08-04（北京时间）</t>
        </is>
      </c>
    </row>
    <row r="5">
      <c r="B5" s="2" t="inlineStr">
        <is>
          <t>样本量：60 条去重后的推荐视频</t>
        </is>
      </c>
    </row>
    <row r="7">
      <c r="B7" s="3" t="inlineStr">
        <is>
          <t>指标</t>
        </is>
      </c>
      <c r="C7" s="3" t="inlineStr">
        <is>
          <t>数值</t>
        </is>
      </c>
    </row>
    <row r="8">
      <c r="B8" s="4" t="inlineStr">
        <is>
          <t>视频总数</t>
        </is>
      </c>
      <c r="C8" s="5">
        <f>COUNTA(视频清单!B2:B61)</f>
        <v/>
      </c>
    </row>
    <row r="9">
      <c r="B9" s="4" t="inlineStr">
        <is>
          <t>UP 主数量</t>
        </is>
      </c>
      <c r="C9" s="5">
        <f>SUMPRODUCT((视频清单!C2:C61&lt;&gt;"")/COUNTIF(视频清单!C2:C61,视频清单!C2:C61&amp;""))</f>
        <v/>
      </c>
    </row>
    <row r="10">
      <c r="B10" s="4" t="inlineStr">
        <is>
          <t>内容方向数</t>
        </is>
      </c>
      <c r="C10" s="5">
        <f>COUNTA(内容方向统计!A2:A12)</f>
        <v/>
      </c>
    </row>
    <row r="11">
      <c r="B11" s="4" t="inlineStr">
        <is>
          <t>总播放量</t>
        </is>
      </c>
      <c r="C11" s="6">
        <f>SUM(视频清单!E2:E61)</f>
        <v/>
      </c>
    </row>
    <row r="12">
      <c r="B12" s="4" t="inlineStr">
        <is>
          <t>单条平均播放量</t>
        </is>
      </c>
      <c r="C12" s="6">
        <f>AVERAGE(视频清单!E2:E61)</f>
        <v/>
      </c>
    </row>
    <row r="13">
      <c r="B13" s="4" t="inlineStr">
        <is>
          <t>播放量中位数</t>
        </is>
      </c>
      <c r="C13" s="6">
        <f>MEDIAN(视频清单!E2:E61)</f>
        <v/>
      </c>
    </row>
    <row r="14">
      <c r="B14" s="4" t="inlineStr">
        <is>
          <t>最高播放量</t>
        </is>
      </c>
      <c r="C14" s="6">
        <f>MAX(视频清单!E2:E61)</f>
        <v/>
      </c>
    </row>
    <row r="15">
      <c r="B15" s="4" t="inlineStr">
        <is>
          <t>最低播放量</t>
        </is>
      </c>
      <c r="C15" s="6">
        <f>MIN(视频清单!E2:E61)</f>
        <v/>
      </c>
    </row>
    <row r="16">
      <c r="B16" s="4" t="inlineStr">
        <is>
          <t>总点赞数</t>
        </is>
      </c>
      <c r="C16" s="6">
        <f>SUM(视频清单!F2:F61)</f>
        <v/>
      </c>
    </row>
    <row r="17">
      <c r="B17" s="4" t="inlineStr">
        <is>
          <t>总弹幕数</t>
        </is>
      </c>
      <c r="C17" s="6">
        <f>SUM(视频清单!G2:G61)</f>
        <v/>
      </c>
    </row>
    <row r="18">
      <c r="B18" s="4" t="inlineStr">
        <is>
          <t>平均点赞率</t>
        </is>
      </c>
      <c r="C18" s="7">
        <f>SUM(视频清单!F2:F61)/SUM(视频清单!E2:E61)</f>
        <v/>
      </c>
    </row>
    <row r="19">
      <c r="B19" s="4" t="inlineStr">
        <is>
          <t>时长中位数（分钟）</t>
        </is>
      </c>
      <c r="C19" s="8">
        <f>MEDIAN(视频清单!H2:H61)/60</f>
        <v/>
      </c>
    </row>
    <row r="20">
      <c r="B20" s="4" t="inlineStr">
        <is>
          <t>最长视频（分钟）</t>
        </is>
      </c>
      <c r="C20" s="8">
        <f>MAX(视频清单!H2:H61)/60</f>
        <v/>
      </c>
    </row>
    <row r="21">
      <c r="B21" s="4" t="inlineStr">
        <is>
          <t>最短视频（秒）</t>
        </is>
      </c>
      <c r="C21" s="5">
        <f>MIN(视频清单!H2:H61)</f>
        <v/>
      </c>
    </row>
    <row r="22">
      <c r="B22" s="4" t="inlineStr">
        <is>
          <t>5 分钟以内的视频数</t>
        </is>
      </c>
      <c r="C22" s="5">
        <f>COUNTIF(视频清单!H2:H61,"&lt;=300")</f>
        <v/>
      </c>
    </row>
    <row r="23">
      <c r="B23" s="4" t="inlineStr">
        <is>
          <t>20 分钟以上的视频数</t>
        </is>
      </c>
      <c r="C23" s="5">
        <f>COUNTIF(视频清单!H2:H61,"&gt;1200")</f>
        <v/>
      </c>
    </row>
    <row r="25">
      <c r="B25" s="9" t="inlineStr">
        <is>
          <t>说明与假设</t>
        </is>
      </c>
    </row>
    <row r="26">
      <c r="B26" s="10" t="inlineStr">
        <is>
          <t>1. 数据由 bilibili 首页推荐接口返回，推荐流因人因时而异，本表仅代表 2026-08-04 这一次采集的结果。</t>
        </is>
      </c>
    </row>
    <row r="27">
      <c r="B27" s="10" t="inlineStr">
        <is>
          <t>2. “内容方向”一列为人工按标题归类，不是 B 站官方分区，共 11 类。</t>
        </is>
      </c>
    </row>
    <row r="28">
      <c r="B28" s="10" t="inlineStr">
        <is>
          <t>3. 播放/点赞/弹幕为采集当时的快照值，会随时间变化。</t>
        </is>
      </c>
    </row>
    <row r="29">
      <c r="B29" s="10" t="inlineStr">
        <is>
          <t>4. 时长中位数优于平均值：样本中有一条 17 小时的影视解说，会把平均时长拉高到 28 分钟。</t>
        </is>
      </c>
    </row>
    <row r="30">
      <c r="B30" s="10" t="inlineStr">
        <is>
          <t>5. 本表所有汇总数值均为公式计算，修改「视频清单」后会自动更新。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20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0" customWidth="1" min="9" max="9"/>
    <col width="12" customWidth="1" min="10" max="10"/>
    <col width="9" customWidth="1" min="11" max="11"/>
    <col width="14" customWidth="1" min="12" max="12"/>
    <col width="44" customWidth="1" min="13" max="13"/>
  </cols>
  <sheetData>
    <row r="1" ht="24" customHeight="1">
      <c r="A1" s="3" t="inlineStr">
        <is>
          <t>序号</t>
        </is>
      </c>
      <c r="B1" s="3" t="inlineStr">
        <is>
          <t>标题</t>
        </is>
      </c>
      <c r="C1" s="3" t="inlineStr">
        <is>
          <t>UP 主</t>
        </is>
      </c>
      <c r="D1" s="3" t="inlineStr">
        <is>
          <t>内容方向</t>
        </is>
      </c>
      <c r="E1" s="3" t="inlineStr">
        <is>
          <t>播放量</t>
        </is>
      </c>
      <c r="F1" s="3" t="inlineStr">
        <is>
          <t>点赞数</t>
        </is>
      </c>
      <c r="G1" s="3" t="inlineStr">
        <is>
          <t>弹幕数</t>
        </is>
      </c>
      <c r="H1" s="3" t="inlineStr">
        <is>
          <t>时长（秒）</t>
        </is>
      </c>
      <c r="I1" s="3" t="inlineStr">
        <is>
          <t>时长</t>
        </is>
      </c>
      <c r="J1" s="3" t="inlineStr">
        <is>
          <t>发布日期</t>
        </is>
      </c>
      <c r="K1" s="3" t="inlineStr">
        <is>
          <t>点赞率</t>
        </is>
      </c>
      <c r="L1" s="3" t="inlineStr">
        <is>
          <t>BV 号</t>
        </is>
      </c>
      <c r="M1" s="3" t="inlineStr">
        <is>
          <t>链接</t>
        </is>
      </c>
    </row>
    <row r="2">
      <c r="A2" s="11" t="n">
        <v>1</v>
      </c>
      <c r="B2" s="12" t="inlineStr">
        <is>
          <t>大庆赶海，大海退潮后发现大个的竹节蛏眼，撒上一点盐往外跑</t>
        </is>
      </c>
      <c r="C2" s="12" t="inlineStr">
        <is>
          <t>大庆赶海</t>
        </is>
      </c>
      <c r="D2" s="12" t="inlineStr">
        <is>
          <t>美食生活</t>
        </is>
      </c>
      <c r="E2" s="13" t="n">
        <v>10672690</v>
      </c>
      <c r="F2" s="13" t="n">
        <v>209617</v>
      </c>
      <c r="G2" s="13" t="n">
        <v>2096</v>
      </c>
      <c r="H2" s="13" t="n">
        <v>385</v>
      </c>
      <c r="I2" s="11">
        <f>TEXT(H2/86400,"[h]:mm:ss")</f>
        <v/>
      </c>
      <c r="J2" s="14" t="n">
        <v>46228</v>
      </c>
      <c r="K2" s="15">
        <f>IF(E2=0,"",F2/E2)</f>
        <v/>
      </c>
      <c r="L2" s="12" t="inlineStr">
        <is>
          <t>BV1wj3M69EuL</t>
        </is>
      </c>
      <c r="M2" s="16" t="inlineStr">
        <is>
          <t>https://www.bilibili.com/video/BV1wj3M69EuL</t>
        </is>
      </c>
    </row>
    <row r="3">
      <c r="A3" s="11" t="n">
        <v>2</v>
      </c>
      <c r="B3" s="12" t="inlineStr">
        <is>
          <t>我的世界硬核生存！【缆车末日惊变100天】p1 我被困在了充满丧尸的1千米高空缆车上！</t>
        </is>
      </c>
      <c r="C3" s="12" t="inlineStr">
        <is>
          <t>Q弹的果冻c</t>
        </is>
      </c>
      <c r="D3" s="12" t="inlineStr">
        <is>
          <t>游戏</t>
        </is>
      </c>
      <c r="E3" s="13" t="n">
        <v>8623748</v>
      </c>
      <c r="F3" s="13" t="n">
        <v>393182</v>
      </c>
      <c r="G3" s="13" t="n">
        <v>12492</v>
      </c>
      <c r="H3" s="13" t="n">
        <v>1614</v>
      </c>
      <c r="I3" s="11">
        <f>TEXT(H3/86400,"[h]:mm:ss")</f>
        <v/>
      </c>
      <c r="J3" s="14" t="n">
        <v>46224</v>
      </c>
      <c r="K3" s="15">
        <f>IF(E3=0,"",F3/E3)</f>
        <v/>
      </c>
      <c r="L3" s="12" t="inlineStr">
        <is>
          <t>BV1kbKb6qEba</t>
        </is>
      </c>
      <c r="M3" s="16" t="inlineStr">
        <is>
          <t>https://www.bilibili.com/video/BV1kbKb6qEba</t>
        </is>
      </c>
    </row>
    <row r="4">
      <c r="A4" s="11" t="n">
        <v>3</v>
      </c>
      <c r="B4" s="12" t="inlineStr">
        <is>
          <t>中国人能飞</t>
        </is>
      </c>
      <c r="C4" s="12" t="inlineStr">
        <is>
          <t>鸡鸡·夫斯基</t>
        </is>
      </c>
      <c r="D4" s="12" t="inlineStr">
        <is>
          <t>娱乐鬼畜</t>
        </is>
      </c>
      <c r="E4" s="13" t="n">
        <v>7232935</v>
      </c>
      <c r="F4" s="13" t="n">
        <v>391560</v>
      </c>
      <c r="G4" s="13" t="n">
        <v>17882</v>
      </c>
      <c r="H4" s="13" t="n">
        <v>87</v>
      </c>
      <c r="I4" s="11">
        <f>TEXT(H4/86400,"[h]:mm:ss")</f>
        <v/>
      </c>
      <c r="J4" s="14" t="n">
        <v>46227</v>
      </c>
      <c r="K4" s="15">
        <f>IF(E4=0,"",F4/E4)</f>
        <v/>
      </c>
      <c r="L4" s="12" t="inlineStr">
        <is>
          <t>BV1iKgv6HEgJ</t>
        </is>
      </c>
      <c r="M4" s="16" t="inlineStr">
        <is>
          <t>https://www.bilibili.com/video/BV1iKgv6HEgJ</t>
        </is>
      </c>
    </row>
    <row r="5">
      <c r="A5" s="11" t="n">
        <v>4</v>
      </c>
      <c r="B5" s="12" t="inlineStr">
        <is>
          <t>我做的成吉思鸡，加入18种香料，太好吃啦</t>
        </is>
      </c>
      <c r="C5" s="12" t="inlineStr">
        <is>
          <t>咸鱼梦想家vlog</t>
        </is>
      </c>
      <c r="D5" s="12" t="inlineStr">
        <is>
          <t>美食生活</t>
        </is>
      </c>
      <c r="E5" s="13" t="n">
        <v>5640834</v>
      </c>
      <c r="F5" s="13" t="n">
        <v>151322</v>
      </c>
      <c r="G5" s="13" t="n">
        <v>9113</v>
      </c>
      <c r="H5" s="13" t="n">
        <v>284</v>
      </c>
      <c r="I5" s="11">
        <f>TEXT(H5/86400,"[h]:mm:ss")</f>
        <v/>
      </c>
      <c r="J5" s="14" t="n">
        <v>46230</v>
      </c>
      <c r="K5" s="15">
        <f>IF(E5=0,"",F5/E5)</f>
        <v/>
      </c>
      <c r="L5" s="12" t="inlineStr">
        <is>
          <t>BV1n23F6wEHg</t>
        </is>
      </c>
      <c r="M5" s="16" t="inlineStr">
        <is>
          <t>https://www.bilibili.com/video/BV1n23F6wEHg</t>
        </is>
      </c>
    </row>
    <row r="6">
      <c r="A6" s="11" t="n">
        <v>5</v>
      </c>
      <c r="B6" s="12" t="inlineStr">
        <is>
          <t>【独家】牧神记 第93集 弑帝</t>
        </is>
      </c>
      <c r="C6" s="12" t="inlineStr">
        <is>
          <t>哔哩哔哩国创</t>
        </is>
      </c>
      <c r="D6" s="12" t="inlineStr">
        <is>
          <t>动画二次元</t>
        </is>
      </c>
      <c r="E6" s="13" t="n">
        <v>5447014</v>
      </c>
      <c r="F6" s="13" t="n">
        <v>61930</v>
      </c>
      <c r="G6" s="13" t="n">
        <v>25431</v>
      </c>
      <c r="H6" s="13" t="n">
        <v>1317</v>
      </c>
      <c r="I6" s="11">
        <f>TEXT(H6/86400,"[h]:mm:ss")</f>
        <v/>
      </c>
      <c r="J6" s="14" t="n">
        <v>46229</v>
      </c>
      <c r="K6" s="15">
        <f>IF(E6=0,"",F6/E6)</f>
        <v/>
      </c>
      <c r="L6" s="12" t="inlineStr">
        <is>
          <t>BV1Dr3g65EJ2</t>
        </is>
      </c>
      <c r="M6" s="16" t="inlineStr">
        <is>
          <t>https://www.bilibili.com/video/BV1Dr3g65EJ2</t>
        </is>
      </c>
    </row>
    <row r="7">
      <c r="A7" s="11" t="n">
        <v>6</v>
      </c>
      <c r="B7" s="12" t="inlineStr">
        <is>
          <t>同时让10000入侵物种，进行大混战，最终能否决出入侵之王？！</t>
        </is>
      </c>
      <c r="C7" s="12" t="inlineStr">
        <is>
          <t>蔡武年</t>
        </is>
      </c>
      <c r="D7" s="12" t="inlineStr">
        <is>
          <t>知识科普</t>
        </is>
      </c>
      <c r="E7" s="13" t="n">
        <v>5416136</v>
      </c>
      <c r="F7" s="13" t="n">
        <v>112788</v>
      </c>
      <c r="G7" s="13" t="n">
        <v>1634</v>
      </c>
      <c r="H7" s="13" t="n">
        <v>537</v>
      </c>
      <c r="I7" s="11">
        <f>TEXT(H7/86400,"[h]:mm:ss")</f>
        <v/>
      </c>
      <c r="J7" s="14" t="n">
        <v>46227</v>
      </c>
      <c r="K7" s="15">
        <f>IF(E7=0,"",F7/E7)</f>
        <v/>
      </c>
      <c r="L7" s="12" t="inlineStr">
        <is>
          <t>BV1sogS6yEpm</t>
        </is>
      </c>
      <c r="M7" s="16" t="inlineStr">
        <is>
          <t>https://www.bilibili.com/video/BV1sogS6yEpm</t>
        </is>
      </c>
    </row>
    <row r="8">
      <c r="A8" s="11" t="n">
        <v>7</v>
      </c>
      <c r="B8" s="12" t="inlineStr">
        <is>
          <t>我们拍到了水下风暴</t>
        </is>
      </c>
      <c r="C8" s="12" t="inlineStr">
        <is>
          <t>影视飓风</t>
        </is>
      </c>
      <c r="D8" s="12" t="inlineStr">
        <is>
          <t>科技数码</t>
        </is>
      </c>
      <c r="E8" s="13" t="n">
        <v>5393281</v>
      </c>
      <c r="F8" s="13" t="n">
        <v>345535</v>
      </c>
      <c r="G8" s="13" t="n">
        <v>20121</v>
      </c>
      <c r="H8" s="13" t="n">
        <v>1488</v>
      </c>
      <c r="I8" s="11">
        <f>TEXT(H8/86400,"[h]:mm:ss")</f>
        <v/>
      </c>
      <c r="J8" s="14" t="n">
        <v>46234</v>
      </c>
      <c r="K8" s="15">
        <f>IF(E8=0,"",F8/E8)</f>
        <v/>
      </c>
      <c r="L8" s="12" t="inlineStr">
        <is>
          <t>BV1c7GA6kEqN</t>
        </is>
      </c>
      <c r="M8" s="16" t="inlineStr">
        <is>
          <t>https://www.bilibili.com/video/BV1c7GA6kEqN</t>
        </is>
      </c>
    </row>
    <row r="9">
      <c r="A9" s="11" t="n">
        <v>8</v>
      </c>
      <c r="B9" s="12" t="inlineStr">
        <is>
          <t>全新开箱！我居然买到了德军的HK G28精确射手步枪？</t>
        </is>
      </c>
      <c r="C9" s="12" t="inlineStr">
        <is>
          <t>JaegerZ999官方账号</t>
        </is>
      </c>
      <c r="D9" s="12" t="inlineStr">
        <is>
          <t>知识科普</t>
        </is>
      </c>
      <c r="E9" s="13" t="n">
        <v>5228424</v>
      </c>
      <c r="F9" s="13" t="n">
        <v>156909</v>
      </c>
      <c r="G9" s="13" t="n">
        <v>3150</v>
      </c>
      <c r="H9" s="13" t="n">
        <v>439</v>
      </c>
      <c r="I9" s="11">
        <f>TEXT(H9/86400,"[h]:mm:ss")</f>
        <v/>
      </c>
      <c r="J9" s="14" t="n">
        <v>46230</v>
      </c>
      <c r="K9" s="15">
        <f>IF(E9=0,"",F9/E9)</f>
        <v/>
      </c>
      <c r="L9" s="12" t="inlineStr">
        <is>
          <t>BV1ry3w6gEns</t>
        </is>
      </c>
      <c r="M9" s="16" t="inlineStr">
        <is>
          <t>https://www.bilibili.com/video/BV1ry3w6gEns</t>
        </is>
      </c>
    </row>
    <row r="10">
      <c r="A10" s="11" t="n">
        <v>9</v>
      </c>
      <c r="B10" s="12" t="inlineStr">
        <is>
          <t>在机密开972万的反应堆总控核心！爆率究竟会怎样？</t>
        </is>
      </c>
      <c r="C10" s="12" t="inlineStr">
        <is>
          <t>哈基蜂三角洲行动</t>
        </is>
      </c>
      <c r="D10" s="12" t="inlineStr">
        <is>
          <t>游戏</t>
        </is>
      </c>
      <c r="E10" s="13" t="n">
        <v>5200775</v>
      </c>
      <c r="F10" s="13" t="n">
        <v>64982</v>
      </c>
      <c r="G10" s="13" t="n">
        <v>2222</v>
      </c>
      <c r="H10" s="13" t="n">
        <v>685</v>
      </c>
      <c r="I10" s="11">
        <f>TEXT(H10/86400,"[h]:mm:ss")</f>
        <v/>
      </c>
      <c r="J10" s="14" t="n">
        <v>46229</v>
      </c>
      <c r="K10" s="15">
        <f>IF(E10=0,"",F10/E10)</f>
        <v/>
      </c>
      <c r="L10" s="12" t="inlineStr">
        <is>
          <t>BV16ag96jE7L</t>
        </is>
      </c>
      <c r="M10" s="16" t="inlineStr">
        <is>
          <t>https://www.bilibili.com/video/BV16ag96jE7L</t>
        </is>
      </c>
    </row>
    <row r="11">
      <c r="A11" s="11" t="n">
        <v>10</v>
      </c>
      <c r="B11" s="12" t="inlineStr">
        <is>
          <t>宗 主 连 携 技</t>
        </is>
      </c>
      <c r="C11" s="12" t="inlineStr">
        <is>
          <t>自动鬼畜中的WZ</t>
        </is>
      </c>
      <c r="D11" s="12" t="inlineStr">
        <is>
          <t>娱乐鬼畜</t>
        </is>
      </c>
      <c r="E11" s="13" t="n">
        <v>4289917</v>
      </c>
      <c r="F11" s="13" t="n">
        <v>447443</v>
      </c>
      <c r="G11" s="13" t="n">
        <v>6102</v>
      </c>
      <c r="H11" s="13" t="n">
        <v>140</v>
      </c>
      <c r="I11" s="11">
        <f>TEXT(H11/86400,"[h]:mm:ss")</f>
        <v/>
      </c>
      <c r="J11" s="14" t="n">
        <v>46235</v>
      </c>
      <c r="K11" s="15">
        <f>IF(E11=0,"",F11/E11)</f>
        <v/>
      </c>
      <c r="L11" s="12" t="inlineStr">
        <is>
          <t>BV1Nr3s6rE79</t>
        </is>
      </c>
      <c r="M11" s="16" t="inlineStr">
        <is>
          <t>https://www.bilibili.com/video/BV1Nr3s6rE79</t>
        </is>
      </c>
    </row>
    <row r="12">
      <c r="A12" s="11" t="n">
        <v>11</v>
      </c>
      <c r="B12" s="12" t="inlineStr">
        <is>
          <t>大坏狐狸的故事抽象中配 大结局</t>
        </is>
      </c>
      <c r="C12" s="12" t="inlineStr">
        <is>
          <t>Coulson不讲李</t>
        </is>
      </c>
      <c r="D12" s="12" t="inlineStr">
        <is>
          <t>娱乐鬼畜</t>
        </is>
      </c>
      <c r="E12" s="13" t="n">
        <v>4230543</v>
      </c>
      <c r="F12" s="13" t="n">
        <v>164070</v>
      </c>
      <c r="G12" s="13" t="n">
        <v>560</v>
      </c>
      <c r="H12" s="13" t="n">
        <v>224</v>
      </c>
      <c r="I12" s="11">
        <f>TEXT(H12/86400,"[h]:mm:ss")</f>
        <v/>
      </c>
      <c r="J12" s="14" t="n">
        <v>46227</v>
      </c>
      <c r="K12" s="15">
        <f>IF(E12=0,"",F12/E12)</f>
        <v/>
      </c>
      <c r="L12" s="12" t="inlineStr">
        <is>
          <t>BV1WWgh6WE9D</t>
        </is>
      </c>
      <c r="M12" s="16" t="inlineStr">
        <is>
          <t>https://www.bilibili.com/video/BV1WWgh6WE9D</t>
        </is>
      </c>
    </row>
    <row r="13">
      <c r="A13" s="11" t="n">
        <v>12</v>
      </c>
      <c r="B13" s="12" t="inlineStr">
        <is>
          <t>《我落泪情绪零碎》</t>
        </is>
      </c>
      <c r="C13" s="12" t="inlineStr">
        <is>
          <t>王濛</t>
        </is>
      </c>
      <c r="D13" s="12" t="inlineStr">
        <is>
          <t>娱乐鬼畜</t>
        </is>
      </c>
      <c r="E13" s="13" t="n">
        <v>4070991</v>
      </c>
      <c r="F13" s="13" t="n">
        <v>80382</v>
      </c>
      <c r="G13" s="13" t="n">
        <v>59957</v>
      </c>
      <c r="H13" s="13" t="n">
        <v>293</v>
      </c>
      <c r="I13" s="11">
        <f>TEXT(H13/86400,"[h]:mm:ss")</f>
        <v/>
      </c>
      <c r="J13" s="14" t="n">
        <v>46200</v>
      </c>
      <c r="K13" s="15">
        <f>IF(E13=0,"",F13/E13)</f>
        <v/>
      </c>
      <c r="L13" s="12" t="inlineStr">
        <is>
          <t>BV13o7W6PEcJ</t>
        </is>
      </c>
      <c r="M13" s="16" t="inlineStr">
        <is>
          <t>https://www.bilibili.com/video/BV13o7W6PEcJ</t>
        </is>
      </c>
    </row>
    <row r="14">
      <c r="A14" s="11" t="n">
        <v>13</v>
      </c>
      <c r="B14" s="12" t="inlineStr">
        <is>
          <t>请不要乱剪动物世界之河狸</t>
        </is>
      </c>
      <c r="C14" s="12" t="inlineStr">
        <is>
          <t>无心科普动物</t>
        </is>
      </c>
      <c r="D14" s="12" t="inlineStr">
        <is>
          <t>知识科普</t>
        </is>
      </c>
      <c r="E14" s="13" t="n">
        <v>3768883</v>
      </c>
      <c r="F14" s="13" t="n">
        <v>178465</v>
      </c>
      <c r="G14" s="13" t="n">
        <v>1379</v>
      </c>
      <c r="H14" s="13" t="n">
        <v>192</v>
      </c>
      <c r="I14" s="11">
        <f>TEXT(H14/86400,"[h]:mm:ss")</f>
        <v/>
      </c>
      <c r="J14" s="14" t="n">
        <v>46210</v>
      </c>
      <c r="K14" s="15">
        <f>IF(E14=0,"",F14/E14)</f>
        <v/>
      </c>
      <c r="L14" s="12" t="inlineStr">
        <is>
          <t>BV1WWM86mEyW</t>
        </is>
      </c>
      <c r="M14" s="16" t="inlineStr">
        <is>
          <t>https://www.bilibili.com/video/BV1WWM86mEyW</t>
        </is>
      </c>
    </row>
    <row r="15">
      <c r="A15" s="11" t="n">
        <v>14</v>
      </c>
      <c r="B15" s="12" t="inlineStr">
        <is>
          <t>当医学生去医院看病</t>
        </is>
      </c>
      <c r="C15" s="12" t="inlineStr">
        <is>
          <t>无奈の老王君</t>
        </is>
      </c>
      <c r="D15" s="12" t="inlineStr">
        <is>
          <t>美食生活</t>
        </is>
      </c>
      <c r="E15" s="13" t="n">
        <v>3745674</v>
      </c>
      <c r="F15" s="13" t="n">
        <v>109042</v>
      </c>
      <c r="G15" s="13" t="n">
        <v>368</v>
      </c>
      <c r="H15" s="13" t="n">
        <v>71</v>
      </c>
      <c r="I15" s="11">
        <f>TEXT(H15/86400,"[h]:mm:ss")</f>
        <v/>
      </c>
      <c r="J15" s="14" t="n">
        <v>46233</v>
      </c>
      <c r="K15" s="15">
        <f>IF(E15=0,"",F15/E15)</f>
        <v/>
      </c>
      <c r="L15" s="12" t="inlineStr">
        <is>
          <t>BV1hngq6SEaR</t>
        </is>
      </c>
      <c r="M15" s="16" t="inlineStr">
        <is>
          <t>https://www.bilibili.com/video/BV1hngq6SEaR</t>
        </is>
      </c>
    </row>
    <row r="16">
      <c r="A16" s="11" t="n">
        <v>15</v>
      </c>
      <c r="B16" s="12" t="inlineStr">
        <is>
          <t>See You Again，但是 Life Goes On</t>
        </is>
      </c>
      <c r="C16" s="12" t="inlineStr">
        <is>
          <t>181319</t>
        </is>
      </c>
      <c r="D16" s="12" t="inlineStr">
        <is>
          <t>音乐</t>
        </is>
      </c>
      <c r="E16" s="13" t="n">
        <v>3631423</v>
      </c>
      <c r="F16" s="13" t="n">
        <v>354860</v>
      </c>
      <c r="G16" s="13" t="n">
        <v>22042</v>
      </c>
      <c r="H16" s="13" t="n">
        <v>128</v>
      </c>
      <c r="I16" s="11">
        <f>TEXT(H16/86400,"[h]:mm:ss")</f>
        <v/>
      </c>
      <c r="J16" s="14" t="n">
        <v>46210</v>
      </c>
      <c r="K16" s="15">
        <f>IF(E16=0,"",F16/E16)</f>
        <v/>
      </c>
      <c r="L16" s="12" t="inlineStr">
        <is>
          <t>BV1EcMa63Epy</t>
        </is>
      </c>
      <c r="M16" s="16" t="inlineStr">
        <is>
          <t>https://www.bilibili.com/video/BV1EcMa63Epy</t>
        </is>
      </c>
    </row>
    <row r="17">
      <c r="A17" s="11" t="n">
        <v>16</v>
      </c>
      <c r="B17" s="12" t="inlineStr">
        <is>
          <t>我用AI杀死了史上最难的跑步游戏</t>
        </is>
      </c>
      <c r="C17" s="12" t="inlineStr">
        <is>
          <t>林亦LYi</t>
        </is>
      </c>
      <c r="D17" s="12" t="inlineStr">
        <is>
          <t>科技数码</t>
        </is>
      </c>
      <c r="E17" s="13" t="n">
        <v>3579974</v>
      </c>
      <c r="F17" s="13" t="n">
        <v>110189</v>
      </c>
      <c r="G17" s="13" t="n">
        <v>3177</v>
      </c>
      <c r="H17" s="13" t="n">
        <v>890</v>
      </c>
      <c r="I17" s="11">
        <f>TEXT(H17/86400,"[h]:mm:ss")</f>
        <v/>
      </c>
      <c r="J17" s="14" t="n">
        <v>46223</v>
      </c>
      <c r="K17" s="15">
        <f>IF(E17=0,"",F17/E17)</f>
        <v/>
      </c>
      <c r="L17" s="12" t="inlineStr">
        <is>
          <t>BV1bmKp6cERp</t>
        </is>
      </c>
      <c r="M17" s="16" t="inlineStr">
        <is>
          <t>https://www.bilibili.com/video/BV1bmKp6cERp</t>
        </is>
      </c>
    </row>
    <row r="18">
      <c r="A18" s="11" t="n">
        <v>17</v>
      </c>
      <c r="B18" s="12" t="inlineStr">
        <is>
          <t>中国人能飞是什么梗【梗指南】</t>
        </is>
      </c>
      <c r="C18" s="12" t="inlineStr">
        <is>
          <t>梗指南</t>
        </is>
      </c>
      <c r="D18" s="12" t="inlineStr">
        <is>
          <t>娱乐鬼畜</t>
        </is>
      </c>
      <c r="E18" s="13" t="n">
        <v>3556499</v>
      </c>
      <c r="F18" s="13" t="n">
        <v>157928</v>
      </c>
      <c r="G18" s="13" t="n">
        <v>1565</v>
      </c>
      <c r="H18" s="13" t="n">
        <v>100</v>
      </c>
      <c r="I18" s="11">
        <f>TEXT(H18/86400,"[h]:mm:ss")</f>
        <v/>
      </c>
      <c r="J18" s="14" t="n">
        <v>46228</v>
      </c>
      <c r="K18" s="15">
        <f>IF(E18=0,"",F18/E18)</f>
        <v/>
      </c>
      <c r="L18" s="12" t="inlineStr">
        <is>
          <t>BV14x3u6iEvc</t>
        </is>
      </c>
      <c r="M18" s="16" t="inlineStr">
        <is>
          <t>https://www.bilibili.com/video/BV14x3u6iEvc</t>
        </is>
      </c>
    </row>
    <row r="19">
      <c r="A19" s="11" t="n">
        <v>18</v>
      </c>
      <c r="B19" s="12" t="inlineStr">
        <is>
          <t>租几颗上亿元的卫星，能拍到什么？</t>
        </is>
      </c>
      <c r="C19" s="12" t="inlineStr">
        <is>
          <t>影视飓风</t>
        </is>
      </c>
      <c r="D19" s="12" t="inlineStr">
        <is>
          <t>科技数码</t>
        </is>
      </c>
      <c r="E19" s="13" t="n">
        <v>3328096</v>
      </c>
      <c r="F19" s="13" t="n">
        <v>163102</v>
      </c>
      <c r="G19" s="13" t="n">
        <v>8286</v>
      </c>
      <c r="H19" s="13" t="n">
        <v>635</v>
      </c>
      <c r="I19" s="11">
        <f>TEXT(H19/86400,"[h]:mm:ss")</f>
        <v/>
      </c>
      <c r="J19" s="14" t="n">
        <v>46236</v>
      </c>
      <c r="K19" s="15">
        <f>IF(E19=0,"",F19/E19)</f>
        <v/>
      </c>
      <c r="L19" s="12" t="inlineStr">
        <is>
          <t>BV1Pt3D6jEob</t>
        </is>
      </c>
      <c r="M19" s="16" t="inlineStr">
        <is>
          <t>https://www.bilibili.com/video/BV1Pt3D6jEob</t>
        </is>
      </c>
    </row>
    <row r="20">
      <c r="A20" s="11" t="n">
        <v>19</v>
      </c>
      <c r="B20" s="12" t="inlineStr">
        <is>
          <t>《体育界来了一位天才》《人类群星闪耀时》</t>
        </is>
      </c>
      <c r="C20" s="12" t="inlineStr">
        <is>
          <t>人类早期纪录片</t>
        </is>
      </c>
      <c r="D20" s="12" t="inlineStr">
        <is>
          <t>娱乐鬼畜</t>
        </is>
      </c>
      <c r="E20" s="13" t="n">
        <v>3307898</v>
      </c>
      <c r="F20" s="13" t="n">
        <v>81785</v>
      </c>
      <c r="G20" s="13" t="n">
        <v>1421</v>
      </c>
      <c r="H20" s="13" t="n">
        <v>203</v>
      </c>
      <c r="I20" s="11">
        <f>TEXT(H20/86400,"[h]:mm:ss")</f>
        <v/>
      </c>
      <c r="J20" s="14" t="n">
        <v>46227</v>
      </c>
      <c r="K20" s="15">
        <f>IF(E20=0,"",F20/E20)</f>
        <v/>
      </c>
      <c r="L20" s="12" t="inlineStr">
        <is>
          <t>BV1sWgY6wE2J</t>
        </is>
      </c>
      <c r="M20" s="16" t="inlineStr">
        <is>
          <t>https://www.bilibili.com/video/BV1sWgY6wE2J</t>
        </is>
      </c>
    </row>
    <row r="21">
      <c r="A21" s="11" t="n">
        <v>20</v>
      </c>
      <c r="B21" s="12" t="inlineStr">
        <is>
          <t>【东倾】《低智商犯罪》解说第一期：全员发癫，爆笑不断</t>
        </is>
      </c>
      <c r="C21" s="12" t="inlineStr">
        <is>
          <t>东倾电影</t>
        </is>
      </c>
      <c r="D21" s="12" t="inlineStr">
        <is>
          <t>影视解说</t>
        </is>
      </c>
      <c r="E21" s="13" t="n">
        <v>2948539</v>
      </c>
      <c r="F21" s="13" t="n">
        <v>49834</v>
      </c>
      <c r="G21" s="13" t="n">
        <v>12914</v>
      </c>
      <c r="H21" s="13" t="n">
        <v>3127</v>
      </c>
      <c r="I21" s="11">
        <f>TEXT(H21/86400,"[h]:mm:ss")</f>
        <v/>
      </c>
      <c r="J21" s="14" t="n">
        <v>46218</v>
      </c>
      <c r="K21" s="15">
        <f>IF(E21=0,"",F21/E21)</f>
        <v/>
      </c>
      <c r="L21" s="12" t="inlineStr">
        <is>
          <t>BV1zwNi6LENs</t>
        </is>
      </c>
      <c r="M21" s="16" t="inlineStr">
        <is>
          <t>https://www.bilibili.com/video/BV1zwNi6LENs</t>
        </is>
      </c>
    </row>
    <row r="22">
      <c r="A22" s="11" t="n">
        <v>21</v>
      </c>
      <c r="B22" s="12" t="inlineStr">
        <is>
          <t>露思直播亏钱学，鹿晗霸榜热搜夜，三代又再次暴击时尚界</t>
        </is>
      </c>
      <c r="C22" s="12" t="inlineStr">
        <is>
          <t>接二连珊妄想症</t>
        </is>
      </c>
      <c r="D22" s="12" t="inlineStr">
        <is>
          <t>娱乐鬼畜</t>
        </is>
      </c>
      <c r="E22" s="13" t="n">
        <v>2841413</v>
      </c>
      <c r="F22" s="13" t="n">
        <v>105661</v>
      </c>
      <c r="G22" s="13" t="n">
        <v>19700</v>
      </c>
      <c r="H22" s="13" t="n">
        <v>804</v>
      </c>
      <c r="I22" s="11">
        <f>TEXT(H22/86400,"[h]:mm:ss")</f>
        <v/>
      </c>
      <c r="J22" s="14" t="n">
        <v>46218</v>
      </c>
      <c r="K22" s="15">
        <f>IF(E22=0,"",F22/E22)</f>
        <v/>
      </c>
      <c r="L22" s="12" t="inlineStr">
        <is>
          <t>BV19aNq6CEbk</t>
        </is>
      </c>
      <c r="M22" s="16" t="inlineStr">
        <is>
          <t>https://www.bilibili.com/video/BV19aNq6CEbk</t>
        </is>
      </c>
    </row>
    <row r="23">
      <c r="A23" s="11" t="n">
        <v>22</v>
      </c>
      <c r="B23" s="12" t="inlineStr">
        <is>
          <t>【独家】牧神记 第94集预告</t>
        </is>
      </c>
      <c r="C23" s="12" t="inlineStr">
        <is>
          <t>哔哩哔哩国创</t>
        </is>
      </c>
      <c r="D23" s="12" t="inlineStr">
        <is>
          <t>动画二次元</t>
        </is>
      </c>
      <c r="E23" s="13" t="n">
        <v>2442143</v>
      </c>
      <c r="F23" s="13" t="n">
        <v>9866</v>
      </c>
      <c r="G23" s="13" t="n">
        <v>266</v>
      </c>
      <c r="H23" s="13" t="n">
        <v>48</v>
      </c>
      <c r="I23" s="11">
        <f>TEXT(H23/86400,"[h]:mm:ss")</f>
        <v/>
      </c>
      <c r="J23" s="14" t="n">
        <v>46229</v>
      </c>
      <c r="K23" s="15">
        <f>IF(E23=0,"",F23/E23)</f>
        <v/>
      </c>
      <c r="L23" s="12" t="inlineStr">
        <is>
          <t>BV1gr3g6LEbA</t>
        </is>
      </c>
      <c r="M23" s="16" t="inlineStr">
        <is>
          <t>https://www.bilibili.com/video/BV1gr3g6LEbA</t>
        </is>
      </c>
    </row>
    <row r="24">
      <c r="A24" s="11" t="n">
        <v>23</v>
      </c>
      <c r="B24" s="12" t="inlineStr">
        <is>
          <t>华强买瓜，但摄影师是新手</t>
        </is>
      </c>
      <c r="C24" s="12" t="inlineStr">
        <is>
          <t>伊介书生</t>
        </is>
      </c>
      <c r="D24" s="12" t="inlineStr">
        <is>
          <t>娱乐鬼畜</t>
        </is>
      </c>
      <c r="E24" s="13" t="n">
        <v>2287080</v>
      </c>
      <c r="F24" s="13" t="n">
        <v>135571</v>
      </c>
      <c r="G24" s="13" t="n">
        <v>1817</v>
      </c>
      <c r="H24" s="13" t="n">
        <v>196</v>
      </c>
      <c r="I24" s="11">
        <f>TEXT(H24/86400,"[h]:mm:ss")</f>
        <v/>
      </c>
      <c r="J24" s="14" t="n">
        <v>46235</v>
      </c>
      <c r="K24" s="15">
        <f>IF(E24=0,"",F24/E24)</f>
        <v/>
      </c>
      <c r="L24" s="12" t="inlineStr">
        <is>
          <t>BV1eH3m6XEhN</t>
        </is>
      </c>
      <c r="M24" s="16" t="inlineStr">
        <is>
          <t>https://www.bilibili.com/video/BV1eH3m6XEhN</t>
        </is>
      </c>
    </row>
    <row r="25">
      <c r="A25" s="11" t="n">
        <v>24</v>
      </c>
      <c r="B25" s="12" t="inlineStr">
        <is>
          <t>我回答了菲尔兹奖得主的问题。</t>
        </is>
      </c>
      <c r="C25" s="12" t="inlineStr">
        <is>
          <t>二次元的中科院物理所</t>
        </is>
      </c>
      <c r="D25" s="12" t="inlineStr">
        <is>
          <t>知识科普</t>
        </is>
      </c>
      <c r="E25" s="13" t="n">
        <v>1908609</v>
      </c>
      <c r="F25" s="13" t="n">
        <v>115862</v>
      </c>
      <c r="G25" s="13" t="n">
        <v>1362</v>
      </c>
      <c r="H25" s="13" t="n">
        <v>90</v>
      </c>
      <c r="I25" s="11">
        <f>TEXT(H25/86400,"[h]:mm:ss")</f>
        <v/>
      </c>
      <c r="J25" s="14" t="n">
        <v>46228</v>
      </c>
      <c r="K25" s="15">
        <f>IF(E25=0,"",F25/E25)</f>
        <v/>
      </c>
      <c r="L25" s="12" t="inlineStr">
        <is>
          <t>BV19tge67EQ4</t>
        </is>
      </c>
      <c r="M25" s="16" t="inlineStr">
        <is>
          <t>https://www.bilibili.com/video/BV19tge67EQ4</t>
        </is>
      </c>
    </row>
    <row r="26">
      <c r="A26" s="11" t="n">
        <v>25</v>
      </c>
      <c r="B26" s="12" t="inlineStr">
        <is>
          <t>当我在荷兰弟面前用唢呐吹蜘蛛侠主题曲【蛛联B合】</t>
        </is>
      </c>
      <c r="C26" s="12" t="inlineStr">
        <is>
          <t>浑元Rysn</t>
        </is>
      </c>
      <c r="D26" s="12" t="inlineStr">
        <is>
          <t>音乐</t>
        </is>
      </c>
      <c r="E26" s="13" t="n">
        <v>1635497</v>
      </c>
      <c r="F26" s="13" t="n">
        <v>88755</v>
      </c>
      <c r="G26" s="13" t="n">
        <v>1155</v>
      </c>
      <c r="H26" s="13" t="n">
        <v>238</v>
      </c>
      <c r="I26" s="11">
        <f>TEXT(H26/86400,"[h]:mm:ss")</f>
        <v/>
      </c>
      <c r="J26" s="14" t="n">
        <v>46231</v>
      </c>
      <c r="K26" s="15">
        <f>IF(E26=0,"",F26/E26)</f>
        <v/>
      </c>
      <c r="L26" s="12" t="inlineStr">
        <is>
          <t>BV1hy3Y6rE44</t>
        </is>
      </c>
      <c r="M26" s="16" t="inlineStr">
        <is>
          <t>https://www.bilibili.com/video/BV1hy3Y6rE44</t>
        </is>
      </c>
    </row>
    <row r="27">
      <c r="A27" s="11" t="n">
        <v>26</v>
      </c>
      <c r="B27" s="12" t="inlineStr">
        <is>
          <t>郝 哥 面 馆</t>
        </is>
      </c>
      <c r="C27" s="12" t="inlineStr">
        <is>
          <t>乌贼酱</t>
        </is>
      </c>
      <c r="D27" s="12" t="inlineStr">
        <is>
          <t>娱乐鬼畜</t>
        </is>
      </c>
      <c r="E27" s="13" t="n">
        <v>1459848</v>
      </c>
      <c r="F27" s="13" t="n">
        <v>64569</v>
      </c>
      <c r="G27" s="13" t="n">
        <v>2165</v>
      </c>
      <c r="H27" s="13" t="n">
        <v>207</v>
      </c>
      <c r="I27" s="11">
        <f>TEXT(H27/86400,"[h]:mm:ss")</f>
        <v/>
      </c>
      <c r="J27" s="14" t="n">
        <v>46234</v>
      </c>
      <c r="K27" s="15">
        <f>IF(E27=0,"",F27/E27)</f>
        <v/>
      </c>
      <c r="L27" s="12" t="inlineStr">
        <is>
          <t>BV1RMGP6iE6E</t>
        </is>
      </c>
      <c r="M27" s="16" t="inlineStr">
        <is>
          <t>https://www.bilibili.com/video/BV1RMGP6iE6E</t>
        </is>
      </c>
    </row>
    <row r="28">
      <c r="A28" s="11" t="n">
        <v>27</v>
      </c>
      <c r="B28" s="12" t="inlineStr">
        <is>
          <t>“你我 怎么两清 怎么做回甲乙丙丁.”|《甲乙丙丁》0.97x</t>
        </is>
      </c>
      <c r="C28" s="12" t="inlineStr">
        <is>
          <t>一支yuuu</t>
        </is>
      </c>
      <c r="D28" s="12" t="inlineStr">
        <is>
          <t>音乐</t>
        </is>
      </c>
      <c r="E28" s="13" t="n">
        <v>1389902</v>
      </c>
      <c r="F28" s="13" t="n">
        <v>41726</v>
      </c>
      <c r="G28" s="13" t="n">
        <v>12160</v>
      </c>
      <c r="H28" s="13" t="n">
        <v>227</v>
      </c>
      <c r="I28" s="11">
        <f>TEXT(H28/86400,"[h]:mm:ss")</f>
        <v/>
      </c>
      <c r="J28" s="14" t="n">
        <v>46212</v>
      </c>
      <c r="K28" s="15">
        <f>IF(E28=0,"",F28/E28)</f>
        <v/>
      </c>
      <c r="L28" s="12" t="inlineStr">
        <is>
          <t>BV1KTMg6ZE3z</t>
        </is>
      </c>
      <c r="M28" s="16" t="inlineStr">
        <is>
          <t>https://www.bilibili.com/video/BV1KTMg6ZE3z</t>
        </is>
      </c>
    </row>
    <row r="29">
      <c r="A29" s="11" t="n">
        <v>28</v>
      </c>
      <c r="B29" s="12" t="inlineStr">
        <is>
          <t>大爷30支枪+1万发弹药对抗银行没收房产，警员开装甲车碾压3次为同事报仇！</t>
        </is>
      </c>
      <c r="C29" s="12" t="inlineStr">
        <is>
          <t>爱看热闹的大鹏</t>
        </is>
      </c>
      <c r="D29" s="12" t="inlineStr">
        <is>
          <t>社会时政</t>
        </is>
      </c>
      <c r="E29" s="13" t="n">
        <v>1267198</v>
      </c>
      <c r="F29" s="13" t="n">
        <v>60473</v>
      </c>
      <c r="G29" s="13" t="n">
        <v>8831</v>
      </c>
      <c r="H29" s="13" t="n">
        <v>788</v>
      </c>
      <c r="I29" s="11">
        <f>TEXT(H29/86400,"[h]:mm:ss")</f>
        <v/>
      </c>
      <c r="J29" s="14" t="n">
        <v>46233</v>
      </c>
      <c r="K29" s="15">
        <f>IF(E29=0,"",F29/E29)</f>
        <v/>
      </c>
      <c r="L29" s="12" t="inlineStr">
        <is>
          <t>BV1puge6hEDe</t>
        </is>
      </c>
      <c r="M29" s="16" t="inlineStr">
        <is>
          <t>https://www.bilibili.com/video/BV1puge6hEDe</t>
        </is>
      </c>
    </row>
    <row r="30">
      <c r="A30" s="11" t="n">
        <v>29</v>
      </c>
      <c r="B30" s="12" t="inlineStr">
        <is>
          <t>这是电气工程中最可怕的图</t>
        </is>
      </c>
      <c r="C30" s="12" t="inlineStr">
        <is>
          <t>Veritasium真理元素</t>
        </is>
      </c>
      <c r="D30" s="12" t="inlineStr">
        <is>
          <t>知识科普</t>
        </is>
      </c>
      <c r="E30" s="13" t="n">
        <v>1078438</v>
      </c>
      <c r="F30" s="13" t="n">
        <v>51921</v>
      </c>
      <c r="G30" s="13" t="n">
        <v>1295</v>
      </c>
      <c r="H30" s="13" t="n">
        <v>2251</v>
      </c>
      <c r="I30" s="11">
        <f>TEXT(H30/86400,"[h]:mm:ss")</f>
        <v/>
      </c>
      <c r="J30" s="14" t="n">
        <v>46231</v>
      </c>
      <c r="K30" s="15">
        <f>IF(E30=0,"",F30/E30)</f>
        <v/>
      </c>
      <c r="L30" s="12" t="inlineStr">
        <is>
          <t>BV1gd3N68Ejk</t>
        </is>
      </c>
      <c r="M30" s="16" t="inlineStr">
        <is>
          <t>https://www.bilibili.com/video/BV1gd3N68Ejk</t>
        </is>
      </c>
    </row>
    <row r="31">
      <c r="A31" s="11" t="n">
        <v>30</v>
      </c>
      <c r="B31" s="12" t="inlineStr">
        <is>
          <t>来看新车！小米澎程N90首发体验</t>
        </is>
      </c>
      <c r="C31" s="12" t="inlineStr">
        <is>
          <t>所长Wy</t>
        </is>
      </c>
      <c r="D31" s="12" t="inlineStr">
        <is>
          <t>汽车</t>
        </is>
      </c>
      <c r="E31" s="13" t="n">
        <v>1055812</v>
      </c>
      <c r="F31" s="13" t="n">
        <v>29641</v>
      </c>
      <c r="G31" s="13" t="n">
        <v>2108</v>
      </c>
      <c r="H31" s="13" t="n">
        <v>499</v>
      </c>
      <c r="I31" s="11">
        <f>TEXT(H31/86400,"[h]:mm:ss")</f>
        <v/>
      </c>
      <c r="J31" s="14" t="n">
        <v>46233</v>
      </c>
      <c r="K31" s="15">
        <f>IF(E31=0,"",F31/E31)</f>
        <v/>
      </c>
      <c r="L31" s="12" t="inlineStr">
        <is>
          <t>BV1vM386zEC8</t>
        </is>
      </c>
      <c r="M31" s="16" t="inlineStr">
        <is>
          <t>https://www.bilibili.com/video/BV1vM386zEC8</t>
        </is>
      </c>
    </row>
    <row r="32">
      <c r="A32" s="11" t="n">
        <v>31</v>
      </c>
      <c r="B32" s="12" t="inlineStr">
        <is>
          <t>【苏新皓】囍 solo直拍 梦寐以求青岛演唱会</t>
        </is>
      </c>
      <c r="C32" s="12" t="inlineStr">
        <is>
          <t>Renaissance苏新皓</t>
        </is>
      </c>
      <c r="D32" s="12" t="inlineStr">
        <is>
          <t>音乐</t>
        </is>
      </c>
      <c r="E32" s="13" t="n">
        <v>1006971</v>
      </c>
      <c r="F32" s="13" t="n">
        <v>115246</v>
      </c>
      <c r="G32" s="13" t="n">
        <v>259013</v>
      </c>
      <c r="H32" s="13" t="n">
        <v>314</v>
      </c>
      <c r="I32" s="11">
        <f>TEXT(H32/86400,"[h]:mm:ss")</f>
        <v/>
      </c>
      <c r="J32" s="14" t="n">
        <v>46228</v>
      </c>
      <c r="K32" s="15">
        <f>IF(E32=0,"",F32/E32)</f>
        <v/>
      </c>
      <c r="L32" s="12" t="inlineStr">
        <is>
          <t>BV15Q3u6UEfW</t>
        </is>
      </c>
      <c r="M32" s="16" t="inlineStr">
        <is>
          <t>https://www.bilibili.com/video/BV15Q3u6UEfW</t>
        </is>
      </c>
    </row>
    <row r="33">
      <c r="A33" s="11" t="n">
        <v>32</v>
      </c>
      <c r="B33" s="12" t="inlineStr">
        <is>
          <t>《蜘蛛侠:崭新之日》万字解析！132个彩蛋&amp;细节&amp;结局分析！</t>
        </is>
      </c>
      <c r="C33" s="12" t="inlineStr">
        <is>
          <t>超英队长</t>
        </is>
      </c>
      <c r="D33" s="12" t="inlineStr">
        <is>
          <t>影视解说</t>
        </is>
      </c>
      <c r="E33" s="13" t="n">
        <v>980289</v>
      </c>
      <c r="F33" s="13" t="n">
        <v>39424</v>
      </c>
      <c r="G33" s="13" t="n">
        <v>5439</v>
      </c>
      <c r="H33" s="13" t="n">
        <v>1623</v>
      </c>
      <c r="I33" s="11">
        <f>TEXT(H33/86400,"[h]:mm:ss")</f>
        <v/>
      </c>
      <c r="J33" s="14" t="n">
        <v>46235</v>
      </c>
      <c r="K33" s="15">
        <f>IF(E33=0,"",F33/E33)</f>
        <v/>
      </c>
      <c r="L33" s="12" t="inlineStr">
        <is>
          <t>BV1E8Gu6oEhM</t>
        </is>
      </c>
      <c r="M33" s="16" t="inlineStr">
        <is>
          <t>https://www.bilibili.com/video/BV1E8Gu6oEhM</t>
        </is>
      </c>
    </row>
    <row r="34">
      <c r="A34" s="11" t="n">
        <v>33</v>
      </c>
      <c r="B34" s="12" t="inlineStr">
        <is>
          <t>花重金凑齐全球17款可乐，喝起来差距到底有多离谱？</t>
        </is>
      </c>
      <c r="C34" s="12" t="inlineStr">
        <is>
          <t>记录生活的蛋黄派</t>
        </is>
      </c>
      <c r="D34" s="12" t="inlineStr">
        <is>
          <t>美食生活</t>
        </is>
      </c>
      <c r="E34" s="13" t="n">
        <v>973832</v>
      </c>
      <c r="F34" s="13" t="n">
        <v>35398</v>
      </c>
      <c r="G34" s="13" t="n">
        <v>1196</v>
      </c>
      <c r="H34" s="13" t="n">
        <v>417</v>
      </c>
      <c r="I34" s="11">
        <f>TEXT(H34/86400,"[h]:mm:ss")</f>
        <v/>
      </c>
      <c r="J34" s="14" t="n">
        <v>46235</v>
      </c>
      <c r="K34" s="15">
        <f>IF(E34=0,"",F34/E34)</f>
        <v/>
      </c>
      <c r="L34" s="12" t="inlineStr">
        <is>
          <t>BV1743y6XERB</t>
        </is>
      </c>
      <c r="M34" s="16" t="inlineStr">
        <is>
          <t>https://www.bilibili.com/video/BV1743y6XERB</t>
        </is>
      </c>
    </row>
    <row r="35">
      <c r="A35" s="11" t="n">
        <v>34</v>
      </c>
      <c r="B35" s="12" t="inlineStr">
        <is>
          <t>【太君の噩梦】造谣成吉思汗和杨贵妃都是日本人，日本野史比你想象中更夸张！</t>
        </is>
      </c>
      <c r="C35" s="12" t="inlineStr">
        <is>
          <t>世界大抬杠</t>
        </is>
      </c>
      <c r="D35" s="12" t="inlineStr">
        <is>
          <t>知识科普</t>
        </is>
      </c>
      <c r="E35" s="13" t="n">
        <v>906746</v>
      </c>
      <c r="F35" s="13" t="n">
        <v>40771</v>
      </c>
      <c r="G35" s="13" t="n">
        <v>2168</v>
      </c>
      <c r="H35" s="13" t="n">
        <v>983</v>
      </c>
      <c r="I35" s="11">
        <f>TEXT(H35/86400,"[h]:mm:ss")</f>
        <v/>
      </c>
      <c r="J35" s="14" t="n">
        <v>46235</v>
      </c>
      <c r="K35" s="15">
        <f>IF(E35=0,"",F35/E35)</f>
        <v/>
      </c>
      <c r="L35" s="12" t="inlineStr">
        <is>
          <t>BV1iwG369ENB</t>
        </is>
      </c>
      <c r="M35" s="16" t="inlineStr">
        <is>
          <t>https://www.bilibili.com/video/BV1iwG369ENB</t>
        </is>
      </c>
    </row>
    <row r="36">
      <c r="A36" s="11" t="n">
        <v>35</v>
      </c>
      <c r="B36" s="12" t="inlineStr">
        <is>
          <t>探秘印度国宴！一顿饭2万？阿三国宴到底有多离谱？</t>
        </is>
      </c>
      <c r="C36" s="12" t="inlineStr">
        <is>
          <t>子文又饿了</t>
        </is>
      </c>
      <c r="D36" s="12" t="inlineStr">
        <is>
          <t>美食生活</t>
        </is>
      </c>
      <c r="E36" s="13" t="n">
        <v>865825</v>
      </c>
      <c r="F36" s="13" t="n">
        <v>28935</v>
      </c>
      <c r="G36" s="13" t="n">
        <v>4129</v>
      </c>
      <c r="H36" s="13" t="n">
        <v>698</v>
      </c>
      <c r="I36" s="11">
        <f>TEXT(H36/86400,"[h]:mm:ss")</f>
        <v/>
      </c>
      <c r="J36" s="14" t="n">
        <v>46233</v>
      </c>
      <c r="K36" s="15">
        <f>IF(E36=0,"",F36/E36)</f>
        <v/>
      </c>
      <c r="L36" s="12" t="inlineStr">
        <is>
          <t>BV1f23p6bED3</t>
        </is>
      </c>
      <c r="M36" s="16" t="inlineStr">
        <is>
          <t>https://www.bilibili.com/video/BV1f23p6bED3</t>
        </is>
      </c>
    </row>
    <row r="37">
      <c r="A37" s="11" t="n">
        <v>36</v>
      </c>
      <c r="B37" s="12" t="inlineStr">
        <is>
          <t>知了猴有啥好吃的？全中国最好吃虫子大盘点！</t>
        </is>
      </c>
      <c r="C37" s="12" t="inlineStr">
        <is>
          <t>浪花姜</t>
        </is>
      </c>
      <c r="D37" s="12" t="inlineStr">
        <is>
          <t>美食生活</t>
        </is>
      </c>
      <c r="E37" s="13" t="n">
        <v>857125</v>
      </c>
      <c r="F37" s="13" t="n">
        <v>35054</v>
      </c>
      <c r="G37" s="13" t="n">
        <v>10232</v>
      </c>
      <c r="H37" s="13" t="n">
        <v>1548</v>
      </c>
      <c r="I37" s="11">
        <f>TEXT(H37/86400,"[h]:mm:ss")</f>
        <v/>
      </c>
      <c r="J37" s="14" t="n">
        <v>46236</v>
      </c>
      <c r="K37" s="15">
        <f>IF(E37=0,"",F37/E37)</f>
        <v/>
      </c>
      <c r="L37" s="12" t="inlineStr">
        <is>
          <t>BV11Y3R6bEBL</t>
        </is>
      </c>
      <c r="M37" s="16" t="inlineStr">
        <is>
          <t>https://www.bilibili.com/video/BV11Y3R6bEBL</t>
        </is>
      </c>
    </row>
    <row r="38">
      <c r="A38" s="11" t="n">
        <v>37</v>
      </c>
      <c r="B38" s="12" t="inlineStr">
        <is>
          <t>食人狂魔！究极变态！耗时1年最细最全，地球上最著名的食人魔《汉尼拔》全三季解说</t>
        </is>
      </c>
      <c r="C38" s="12" t="inlineStr">
        <is>
          <t>谁是阿WAI</t>
        </is>
      </c>
      <c r="D38" s="12" t="inlineStr">
        <is>
          <t>影视解说</t>
        </is>
      </c>
      <c r="E38" s="13" t="n">
        <v>692576</v>
      </c>
      <c r="F38" s="13" t="n">
        <v>34262</v>
      </c>
      <c r="G38" s="13" t="n">
        <v>6327</v>
      </c>
      <c r="H38" s="13" t="n">
        <v>61192</v>
      </c>
      <c r="I38" s="11">
        <f>TEXT(H38/86400,"[h]:mm:ss")</f>
        <v/>
      </c>
      <c r="J38" s="14" t="n">
        <v>46226</v>
      </c>
      <c r="K38" s="15">
        <f>IF(E38=0,"",F38/E38)</f>
        <v/>
      </c>
      <c r="L38" s="12" t="inlineStr">
        <is>
          <t>BV1nNgD6uEV2</t>
        </is>
      </c>
      <c r="M38" s="16" t="inlineStr">
        <is>
          <t>https://www.bilibili.com/video/BV1nNgD6uEV2</t>
        </is>
      </c>
    </row>
    <row r="39">
      <c r="A39" s="11" t="n">
        <v>38</v>
      </c>
      <c r="B39" s="12" t="inlineStr">
        <is>
          <t>可是她叫我同志诶｜“同志你好，欢迎来到未来”</t>
        </is>
      </c>
      <c r="C39" s="12" t="inlineStr">
        <is>
          <t>o小庄o</t>
        </is>
      </c>
      <c r="D39" s="12" t="inlineStr">
        <is>
          <t>社会时政</t>
        </is>
      </c>
      <c r="E39" s="13" t="n">
        <v>663651</v>
      </c>
      <c r="F39" s="13" t="n">
        <v>30199</v>
      </c>
      <c r="G39" s="13" t="n">
        <v>175</v>
      </c>
      <c r="H39" s="13" t="n">
        <v>254</v>
      </c>
      <c r="I39" s="11">
        <f>TEXT(H39/86400,"[h]:mm:ss")</f>
        <v/>
      </c>
      <c r="J39" s="14" t="n">
        <v>46233</v>
      </c>
      <c r="K39" s="15">
        <f>IF(E39=0,"",F39/E39)</f>
        <v/>
      </c>
      <c r="L39" s="12" t="inlineStr">
        <is>
          <t>BV1u73t6REno</t>
        </is>
      </c>
      <c r="M39" s="16" t="inlineStr">
        <is>
          <t>https://www.bilibili.com/video/BV1u73t6REno</t>
        </is>
      </c>
    </row>
    <row r="40">
      <c r="A40" s="11" t="n">
        <v>39</v>
      </c>
      <c r="B40" s="12" t="inlineStr">
        <is>
          <t>和我恋爱的条件是......</t>
        </is>
      </c>
      <c r="C40" s="12" t="inlineStr">
        <is>
          <t>伢伢gagako</t>
        </is>
      </c>
      <c r="D40" s="12" t="inlineStr">
        <is>
          <t>美食生活</t>
        </is>
      </c>
      <c r="E40" s="13" t="n">
        <v>658004</v>
      </c>
      <c r="F40" s="13" t="n">
        <v>41300</v>
      </c>
      <c r="G40" s="13" t="n">
        <v>584</v>
      </c>
      <c r="H40" s="13" t="n">
        <v>66</v>
      </c>
      <c r="I40" s="11">
        <f>TEXT(H40/86400,"[h]:mm:ss")</f>
        <v/>
      </c>
      <c r="J40" s="14" t="n">
        <v>46234</v>
      </c>
      <c r="K40" s="15">
        <f>IF(E40=0,"",F40/E40)</f>
        <v/>
      </c>
      <c r="L40" s="12" t="inlineStr">
        <is>
          <t>BV1W5GN6pEZz</t>
        </is>
      </c>
      <c r="M40" s="16" t="inlineStr">
        <is>
          <t>https://www.bilibili.com/video/BV1W5GN6pEZz</t>
        </is>
      </c>
    </row>
    <row r="41">
      <c r="A41" s="11" t="n">
        <v>40</v>
      </c>
      <c r="B41" s="12" t="inlineStr">
        <is>
          <t>【老鼠人行动】航天基地（绝密）</t>
        </is>
      </c>
      <c r="C41" s="12" t="inlineStr">
        <is>
          <t>老飞宇66</t>
        </is>
      </c>
      <c r="D41" s="12" t="inlineStr">
        <is>
          <t>游戏</t>
        </is>
      </c>
      <c r="E41" s="13" t="n">
        <v>655917</v>
      </c>
      <c r="F41" s="13" t="n">
        <v>53458</v>
      </c>
      <c r="G41" s="13" t="n">
        <v>833</v>
      </c>
      <c r="H41" s="13" t="n">
        <v>252</v>
      </c>
      <c r="I41" s="11">
        <f>TEXT(H41/86400,"[h]:mm:ss")</f>
        <v/>
      </c>
      <c r="J41" s="14" t="n">
        <v>46237</v>
      </c>
      <c r="K41" s="15">
        <f>IF(E41=0,"",F41/E41)</f>
        <v/>
      </c>
      <c r="L41" s="12" t="inlineStr">
        <is>
          <t>BV1iBMD6ZE1R</t>
        </is>
      </c>
      <c r="M41" s="16" t="inlineStr">
        <is>
          <t>https://www.bilibili.com/video/BV1iBMD6ZE1R</t>
        </is>
      </c>
    </row>
    <row r="42">
      <c r="A42" s="11" t="n">
        <v>41</v>
      </c>
      <c r="B42" s="12" t="inlineStr">
        <is>
          <t>不玩手机的10分钟，做什么最赚？</t>
        </is>
      </c>
      <c r="C42" s="12" t="inlineStr">
        <is>
          <t>本子在隔壁</t>
        </is>
      </c>
      <c r="D42" s="12" t="inlineStr">
        <is>
          <t>美食生活</t>
        </is>
      </c>
      <c r="E42" s="13" t="n">
        <v>630546</v>
      </c>
      <c r="F42" s="13" t="n">
        <v>32945</v>
      </c>
      <c r="G42" s="13" t="n">
        <v>1231</v>
      </c>
      <c r="H42" s="13" t="n">
        <v>624</v>
      </c>
      <c r="I42" s="11">
        <f>TEXT(H42/86400,"[h]:mm:ss")</f>
        <v/>
      </c>
      <c r="J42" s="14" t="n">
        <v>46226</v>
      </c>
      <c r="K42" s="15">
        <f>IF(E42=0,"",F42/E42)</f>
        <v/>
      </c>
      <c r="L42" s="12" t="inlineStr">
        <is>
          <t>BV1YbgC6zEvq</t>
        </is>
      </c>
      <c r="M42" s="16" t="inlineStr">
        <is>
          <t>https://www.bilibili.com/video/BV1YbgC6zEvq</t>
        </is>
      </c>
    </row>
    <row r="43">
      <c r="A43" s="11" t="n">
        <v>42</v>
      </c>
      <c r="B43" s="12" t="inlineStr">
        <is>
          <t>MC的某些附魔属性究竟有多少冷知识？！！</t>
        </is>
      </c>
      <c r="C43" s="12" t="inlineStr">
        <is>
          <t>-恒某人-</t>
        </is>
      </c>
      <c r="D43" s="12" t="inlineStr">
        <is>
          <t>游戏</t>
        </is>
      </c>
      <c r="E43" s="13" t="n">
        <v>580955</v>
      </c>
      <c r="F43" s="13" t="n">
        <v>35308</v>
      </c>
      <c r="G43" s="13" t="n">
        <v>805</v>
      </c>
      <c r="H43" s="13" t="n">
        <v>338</v>
      </c>
      <c r="I43" s="11">
        <f>TEXT(H43/86400,"[h]:mm:ss")</f>
        <v/>
      </c>
      <c r="J43" s="14" t="n">
        <v>46235</v>
      </c>
      <c r="K43" s="15">
        <f>IF(E43=0,"",F43/E43)</f>
        <v/>
      </c>
      <c r="L43" s="12" t="inlineStr">
        <is>
          <t>BV19oGK6rELx</t>
        </is>
      </c>
      <c r="M43" s="16" t="inlineStr">
        <is>
          <t>https://www.bilibili.com/video/BV19oGK6rELx</t>
        </is>
      </c>
    </row>
    <row r="44">
      <c r="A44" s="11" t="n">
        <v>43</v>
      </c>
      <c r="B44" s="12" t="inlineStr">
        <is>
          <t>青梅被毒杀，他娶仇人之女隐忍多年灭敌满门</t>
        </is>
      </c>
      <c r="C44" s="12" t="inlineStr">
        <is>
          <t>孙熙然</t>
        </is>
      </c>
      <c r="D44" s="12" t="inlineStr">
        <is>
          <t>影视解说</t>
        </is>
      </c>
      <c r="E44" s="13" t="n">
        <v>555476</v>
      </c>
      <c r="F44" s="13" t="n">
        <v>37030</v>
      </c>
      <c r="G44" s="13" t="n">
        <v>803</v>
      </c>
      <c r="H44" s="13" t="n">
        <v>635</v>
      </c>
      <c r="I44" s="11">
        <f>TEXT(H44/86400,"[h]:mm:ss")</f>
        <v/>
      </c>
      <c r="J44" s="14" t="n">
        <v>46234</v>
      </c>
      <c r="K44" s="15">
        <f>IF(E44=0,"",F44/E44)</f>
        <v/>
      </c>
      <c r="L44" s="12" t="inlineStr">
        <is>
          <t>BV1p5GN6HEmM</t>
        </is>
      </c>
      <c r="M44" s="16" t="inlineStr">
        <is>
          <t>https://www.bilibili.com/video/BV1p5GN6HEmM</t>
        </is>
      </c>
    </row>
    <row r="45">
      <c r="A45" s="11" t="n">
        <v>44</v>
      </c>
      <c r="B45" s="12" t="inlineStr">
        <is>
          <t>世事纷繁，难有一直顺遂，但总有人会递给你一束花。</t>
        </is>
      </c>
      <c r="C45" s="12" t="inlineStr">
        <is>
          <t>夏果夏果</t>
        </is>
      </c>
      <c r="D45" s="12" t="inlineStr">
        <is>
          <t>美食生活</t>
        </is>
      </c>
      <c r="E45" s="13" t="n">
        <v>545714</v>
      </c>
      <c r="F45" s="13" t="n">
        <v>46452</v>
      </c>
      <c r="G45" s="13" t="n">
        <v>400</v>
      </c>
      <c r="H45" s="13" t="n">
        <v>515</v>
      </c>
      <c r="I45" s="11">
        <f>TEXT(H45/86400,"[h]:mm:ss")</f>
        <v/>
      </c>
      <c r="J45" s="14" t="n">
        <v>46236</v>
      </c>
      <c r="K45" s="15">
        <f>IF(E45=0,"",F45/E45)</f>
        <v/>
      </c>
      <c r="L45" s="12" t="inlineStr">
        <is>
          <t>BV1ym3Q6HE1k</t>
        </is>
      </c>
      <c r="M45" s="16" t="inlineStr">
        <is>
          <t>https://www.bilibili.com/video/BV1ym3Q6HE1k</t>
        </is>
      </c>
    </row>
    <row r="46">
      <c r="A46" s="11" t="n">
        <v>45</v>
      </c>
      <c r="B46" s="12" t="inlineStr">
        <is>
          <t>【同人动画】耗时1.5年手搓还原无限城 猗窝座•登场</t>
        </is>
      </c>
      <c r="C46" s="12" t="inlineStr">
        <is>
          <t>Fusilade_炮弹雨</t>
        </is>
      </c>
      <c r="D46" s="12" t="inlineStr">
        <is>
          <t>动画二次元</t>
        </is>
      </c>
      <c r="E46" s="13" t="n">
        <v>538082</v>
      </c>
      <c r="F46" s="13" t="n">
        <v>64959</v>
      </c>
      <c r="G46" s="13" t="n">
        <v>874</v>
      </c>
      <c r="H46" s="13" t="n">
        <v>248</v>
      </c>
      <c r="I46" s="11">
        <f>TEXT(H46/86400,"[h]:mm:ss")</f>
        <v/>
      </c>
      <c r="J46" s="14" t="n">
        <v>46234</v>
      </c>
      <c r="K46" s="15">
        <f>IF(E46=0,"",F46/E46)</f>
        <v/>
      </c>
      <c r="L46" s="12" t="inlineStr">
        <is>
          <t>BV1xNGA6SE2y</t>
        </is>
      </c>
      <c r="M46" s="16" t="inlineStr">
        <is>
          <t>https://www.bilibili.com/video/BV1xNGA6SE2y</t>
        </is>
      </c>
    </row>
    <row r="47">
      <c r="A47" s="11" t="n">
        <v>46</v>
      </c>
      <c r="B47" s="12" t="inlineStr">
        <is>
          <t>这个火爆全网的男人，到底是谁？现状如何？</t>
        </is>
      </c>
      <c r="C47" s="12" t="inlineStr">
        <is>
          <t>水智风</t>
        </is>
      </c>
      <c r="D47" s="12" t="inlineStr">
        <is>
          <t>社会时政</t>
        </is>
      </c>
      <c r="E47" s="13" t="n">
        <v>496372</v>
      </c>
      <c r="F47" s="13" t="n">
        <v>32796</v>
      </c>
      <c r="G47" s="13" t="n">
        <v>2028</v>
      </c>
      <c r="H47" s="13" t="n">
        <v>471</v>
      </c>
      <c r="I47" s="11">
        <f>TEXT(H47/86400,"[h]:mm:ss")</f>
        <v/>
      </c>
      <c r="J47" s="14" t="n">
        <v>46235</v>
      </c>
      <c r="K47" s="15">
        <f>IF(E47=0,"",F47/E47)</f>
        <v/>
      </c>
      <c r="L47" s="12" t="inlineStr">
        <is>
          <t>BV1bVG36jEHg</t>
        </is>
      </c>
      <c r="M47" s="16" t="inlineStr">
        <is>
          <t>https://www.bilibili.com/video/BV1bVG36jEHg</t>
        </is>
      </c>
    </row>
    <row r="48">
      <c r="A48" s="11" t="n">
        <v>47</v>
      </c>
      <c r="B48" s="12" t="inlineStr">
        <is>
          <t>真相，给我编好了呀！</t>
        </is>
      </c>
      <c r="C48" s="12" t="inlineStr">
        <is>
          <t>吟游诗人AT</t>
        </is>
      </c>
      <c r="D48" s="12" t="inlineStr">
        <is>
          <t>影视解说</t>
        </is>
      </c>
      <c r="E48" s="13" t="n">
        <v>420884</v>
      </c>
      <c r="F48" s="13" t="n">
        <v>37032</v>
      </c>
      <c r="G48" s="13" t="n">
        <v>2967</v>
      </c>
      <c r="H48" s="13" t="n">
        <v>812</v>
      </c>
      <c r="I48" s="11">
        <f>TEXT(H48/86400,"[h]:mm:ss")</f>
        <v/>
      </c>
      <c r="J48" s="14" t="n">
        <v>46234</v>
      </c>
      <c r="K48" s="15">
        <f>IF(E48=0,"",F48/E48)</f>
        <v/>
      </c>
      <c r="L48" s="12" t="inlineStr">
        <is>
          <t>BV12TGA6EEGA</t>
        </is>
      </c>
      <c r="M48" s="16" t="inlineStr">
        <is>
          <t>https://www.bilibili.com/video/BV12TGA6EEGA</t>
        </is>
      </c>
    </row>
    <row r="49">
      <c r="A49" s="11" t="n">
        <v>48</v>
      </c>
      <c r="B49" s="12" t="inlineStr">
        <is>
          <t>首次公开！机器狼扛火箭筒抢滩！解放军告别人海冲锋</t>
        </is>
      </c>
      <c r="C49" s="12" t="inlineStr">
        <is>
          <t>新西兰三妹Summer</t>
        </is>
      </c>
      <c r="D49" s="12" t="inlineStr">
        <is>
          <t>社会时政</t>
        </is>
      </c>
      <c r="E49" s="13" t="n">
        <v>368299</v>
      </c>
      <c r="F49" s="13" t="n">
        <v>18261</v>
      </c>
      <c r="G49" s="13" t="n">
        <v>6895</v>
      </c>
      <c r="H49" s="13" t="n">
        <v>6003</v>
      </c>
      <c r="I49" s="11">
        <f>TEXT(H49/86400,"[h]:mm:ss")</f>
        <v/>
      </c>
      <c r="J49" s="14" t="n">
        <v>46236</v>
      </c>
      <c r="K49" s="15">
        <f>IF(E49=0,"",F49/E49)</f>
        <v/>
      </c>
      <c r="L49" s="12" t="inlineStr">
        <is>
          <t>BV1Rt3Q6NE1n</t>
        </is>
      </c>
      <c r="M49" s="16" t="inlineStr">
        <is>
          <t>https://www.bilibili.com/video/BV1Rt3Q6NE1n</t>
        </is>
      </c>
    </row>
    <row r="50">
      <c r="A50" s="11" t="n">
        <v>49</v>
      </c>
      <c r="B50" s="12" t="inlineStr">
        <is>
          <t>曾经的浪漫老歌，为何变成了恐怖片中的疯感BGM？</t>
        </is>
      </c>
      <c r="C50" s="12" t="inlineStr">
        <is>
          <t>琛哥音乐电台</t>
        </is>
      </c>
      <c r="D50" s="12" t="inlineStr">
        <is>
          <t>音乐</t>
        </is>
      </c>
      <c r="E50" s="13" t="n">
        <v>347219</v>
      </c>
      <c r="F50" s="13" t="n">
        <v>41157</v>
      </c>
      <c r="G50" s="13" t="n">
        <v>1278</v>
      </c>
      <c r="H50" s="13" t="n">
        <v>675</v>
      </c>
      <c r="I50" s="11">
        <f>TEXT(H50/86400,"[h]:mm:ss")</f>
        <v/>
      </c>
      <c r="J50" s="14" t="n">
        <v>46235</v>
      </c>
      <c r="K50" s="15">
        <f>IF(E50=0,"",F50/E50)</f>
        <v/>
      </c>
      <c r="L50" s="12" t="inlineStr">
        <is>
          <t>BV1qcGV6AEGj</t>
        </is>
      </c>
      <c r="M50" s="16" t="inlineStr">
        <is>
          <t>https://www.bilibili.com/video/BV1qcGV6AEGj</t>
        </is>
      </c>
    </row>
    <row r="51">
      <c r="A51" s="11" t="n">
        <v>50</v>
      </c>
      <c r="B51" s="12" t="inlineStr">
        <is>
          <t>你长大了，讲话不要有奴才之相</t>
        </is>
      </c>
      <c r="C51" s="12" t="inlineStr">
        <is>
          <t>阿强动画丶</t>
        </is>
      </c>
      <c r="D51" s="12" t="inlineStr">
        <is>
          <t>动画二次元</t>
        </is>
      </c>
      <c r="E51" s="13" t="n">
        <v>316702</v>
      </c>
      <c r="F51" s="13" t="n">
        <v>17594</v>
      </c>
      <c r="G51" s="13" t="n">
        <v>255</v>
      </c>
      <c r="H51" s="13" t="n">
        <v>436</v>
      </c>
      <c r="I51" s="11">
        <f>TEXT(H51/86400,"[h]:mm:ss")</f>
        <v/>
      </c>
      <c r="J51" s="14" t="n">
        <v>46232</v>
      </c>
      <c r="K51" s="15">
        <f>IF(E51=0,"",F51/E51)</f>
        <v/>
      </c>
      <c r="L51" s="12" t="inlineStr">
        <is>
          <t>BV1T93v6VEoS</t>
        </is>
      </c>
      <c r="M51" s="16" t="inlineStr">
        <is>
          <t>https://www.bilibili.com/video/BV1T93v6VEoS</t>
        </is>
      </c>
    </row>
    <row r="52">
      <c r="A52" s="11" t="n">
        <v>51</v>
      </c>
      <c r="B52" s="12" t="inlineStr">
        <is>
          <t>年马计划第365天乌鲁木齐（2）第365个连续全程马拉松顺利结束</t>
        </is>
      </c>
      <c r="C52" s="12" t="inlineStr">
        <is>
          <t>堂主lee</t>
        </is>
      </c>
      <c r="D52" s="12" t="inlineStr">
        <is>
          <t>体育</t>
        </is>
      </c>
      <c r="E52" s="13" t="n">
        <v>288615</v>
      </c>
      <c r="F52" s="13" t="n">
        <v>55924</v>
      </c>
      <c r="G52" s="13" t="n">
        <v>885</v>
      </c>
      <c r="H52" s="13" t="n">
        <v>173</v>
      </c>
      <c r="I52" s="11">
        <f>TEXT(H52/86400,"[h]:mm:ss")</f>
        <v/>
      </c>
      <c r="J52" s="14" t="n">
        <v>46237</v>
      </c>
      <c r="K52" s="15">
        <f>IF(E52=0,"",F52/E52)</f>
        <v/>
      </c>
      <c r="L52" s="12" t="inlineStr">
        <is>
          <t>BV1B83d6JEhb</t>
        </is>
      </c>
      <c r="M52" s="16" t="inlineStr">
        <is>
          <t>https://www.bilibili.com/video/BV1B83d6JEhb</t>
        </is>
      </c>
    </row>
    <row r="53">
      <c r="A53" s="11" t="n">
        <v>52</v>
      </c>
      <c r="B53" s="12" t="inlineStr">
        <is>
          <t>【杂谈】术力口为什么越来越低龄化？圈子的风气该改改了！</t>
        </is>
      </c>
      <c r="C53" s="12" t="inlineStr">
        <is>
          <t>PCKCOOL</t>
        </is>
      </c>
      <c r="D53" s="12" t="inlineStr">
        <is>
          <t>音乐</t>
        </is>
      </c>
      <c r="E53" s="13" t="n">
        <v>283793</v>
      </c>
      <c r="F53" s="13" t="n">
        <v>25834</v>
      </c>
      <c r="G53" s="13" t="n">
        <v>834</v>
      </c>
      <c r="H53" s="13" t="n">
        <v>362</v>
      </c>
      <c r="I53" s="11">
        <f>TEXT(H53/86400,"[h]:mm:ss")</f>
        <v/>
      </c>
      <c r="J53" s="14" t="n">
        <v>46236</v>
      </c>
      <c r="K53" s="15">
        <f>IF(E53=0,"",F53/E53)</f>
        <v/>
      </c>
      <c r="L53" s="12" t="inlineStr">
        <is>
          <t>BV1De3S6pE2d</t>
        </is>
      </c>
      <c r="M53" s="16" t="inlineStr">
        <is>
          <t>https://www.bilibili.com/video/BV1De3S6pE2d</t>
        </is>
      </c>
    </row>
    <row r="54">
      <c r="A54" s="11" t="n">
        <v>53</v>
      </c>
      <c r="B54" s="12" t="inlineStr">
        <is>
          <t>今天体验副本笔记自己的人生</t>
        </is>
      </c>
      <c r="C54" s="12" t="inlineStr">
        <is>
          <t>副本笔记</t>
        </is>
      </c>
      <c r="D54" s="12" t="inlineStr">
        <is>
          <t>美食生活</t>
        </is>
      </c>
      <c r="E54" s="13" t="n">
        <v>267699</v>
      </c>
      <c r="F54" s="13" t="n">
        <v>42654</v>
      </c>
      <c r="G54" s="13" t="n">
        <v>1212</v>
      </c>
      <c r="H54" s="13" t="n">
        <v>700</v>
      </c>
      <c r="I54" s="11">
        <f>TEXT(H54/86400,"[h]:mm:ss")</f>
        <v/>
      </c>
      <c r="J54" s="14" t="n">
        <v>46235</v>
      </c>
      <c r="K54" s="15">
        <f>IF(E54=0,"",F54/E54)</f>
        <v/>
      </c>
      <c r="L54" s="12" t="inlineStr">
        <is>
          <t>BV1NcGg6iExL</t>
        </is>
      </c>
      <c r="M54" s="16" t="inlineStr">
        <is>
          <t>https://www.bilibili.com/video/BV1NcGg6iExL</t>
        </is>
      </c>
    </row>
    <row r="55">
      <c r="A55" s="11" t="n">
        <v>54</v>
      </c>
      <c r="B55" s="12" t="inlineStr">
        <is>
          <t>那四姐小羊我爱上灰原哀，难道也完了？茵蒂克丝</t>
        </is>
      </c>
      <c r="C55" s="12" t="inlineStr">
        <is>
          <t>4姐小羊</t>
        </is>
      </c>
      <c r="D55" s="12" t="inlineStr">
        <is>
          <t>动画二次元</t>
        </is>
      </c>
      <c r="E55" s="13" t="n">
        <v>227183</v>
      </c>
      <c r="F55" s="13" t="n">
        <v>11403</v>
      </c>
      <c r="G55" s="13" t="n">
        <v>1943</v>
      </c>
      <c r="H55" s="13" t="n">
        <v>107</v>
      </c>
      <c r="I55" s="11">
        <f>TEXT(H55/86400,"[h]:mm:ss")</f>
        <v/>
      </c>
      <c r="J55" s="14" t="n">
        <v>46236</v>
      </c>
      <c r="K55" s="15">
        <f>IF(E55=0,"",F55/E55)</f>
        <v/>
      </c>
      <c r="L55" s="12" t="inlineStr">
        <is>
          <t>BV17A3X63Epw</t>
        </is>
      </c>
      <c r="M55" s="16" t="inlineStr">
        <is>
          <t>https://www.bilibili.com/video/BV17A3X63Epw</t>
        </is>
      </c>
    </row>
    <row r="56">
      <c r="A56" s="11" t="n">
        <v>55</v>
      </c>
      <c r="B56" s="12" t="inlineStr">
        <is>
          <t>2.6吨，真的还是莲花吗？</t>
        </is>
      </c>
      <c r="C56" s="12" t="inlineStr">
        <is>
          <t>极速拍档-Jacky</t>
        </is>
      </c>
      <c r="D56" s="12" t="inlineStr">
        <is>
          <t>汽车</t>
        </is>
      </c>
      <c r="E56" s="13" t="n">
        <v>193502</v>
      </c>
      <c r="F56" s="13" t="n">
        <v>8705</v>
      </c>
      <c r="G56" s="13" t="n">
        <v>820</v>
      </c>
      <c r="H56" s="13" t="n">
        <v>890</v>
      </c>
      <c r="I56" s="11">
        <f>TEXT(H56/86400,"[h]:mm:ss")</f>
        <v/>
      </c>
      <c r="J56" s="14" t="n">
        <v>46237</v>
      </c>
      <c r="K56" s="15">
        <f>IF(E56=0,"",F56/E56)</f>
        <v/>
      </c>
      <c r="L56" s="12" t="inlineStr">
        <is>
          <t>BV1ih3d6UEye</t>
        </is>
      </c>
      <c r="M56" s="16" t="inlineStr">
        <is>
          <t>https://www.bilibili.com/video/BV1ih3d6UEye</t>
        </is>
      </c>
    </row>
    <row r="57">
      <c r="A57" s="11" t="n">
        <v>56</v>
      </c>
      <c r="B57" s="12" t="inlineStr">
        <is>
          <t>警方连夜出动，抓捕了103名鬼火少年并缴获了61辆电动！</t>
        </is>
      </c>
      <c r="C57" s="12" t="inlineStr">
        <is>
          <t>桉慕然</t>
        </is>
      </c>
      <c r="D57" s="12" t="inlineStr">
        <is>
          <t>社会时政</t>
        </is>
      </c>
      <c r="E57" s="13" t="n">
        <v>171751</v>
      </c>
      <c r="F57" s="13" t="n">
        <v>9656</v>
      </c>
      <c r="G57" s="13" t="n">
        <v>3160</v>
      </c>
      <c r="H57" s="13" t="n">
        <v>570</v>
      </c>
      <c r="I57" s="11">
        <f>TEXT(H57/86400,"[h]:mm:ss")</f>
        <v/>
      </c>
      <c r="J57" s="14" t="n">
        <v>46236</v>
      </c>
      <c r="K57" s="15">
        <f>IF(E57=0,"",F57/E57)</f>
        <v/>
      </c>
      <c r="L57" s="12" t="inlineStr">
        <is>
          <t>BV1Wm3S6CEHn</t>
        </is>
      </c>
      <c r="M57" s="16" t="inlineStr">
        <is>
          <t>https://www.bilibili.com/video/BV1Wm3S6CEHn</t>
        </is>
      </c>
    </row>
    <row r="58">
      <c r="A58" s="11" t="n">
        <v>57</v>
      </c>
      <c r="B58" s="12" t="inlineStr">
        <is>
          <t>全网唯一！NBA纯实力历史前十（进攻篇）</t>
        </is>
      </c>
      <c r="C58" s="12" t="inlineStr">
        <is>
          <t>诸葛墨镜</t>
        </is>
      </c>
      <c r="D58" s="12" t="inlineStr">
        <is>
          <t>体育</t>
        </is>
      </c>
      <c r="E58" s="13" t="n">
        <v>161553</v>
      </c>
      <c r="F58" s="13" t="n">
        <v>9019</v>
      </c>
      <c r="G58" s="13" t="n">
        <v>2462</v>
      </c>
      <c r="H58" s="13" t="n">
        <v>1225</v>
      </c>
      <c r="I58" s="11">
        <f>TEXT(H58/86400,"[h]:mm:ss")</f>
        <v/>
      </c>
      <c r="J58" s="14" t="n">
        <v>46236</v>
      </c>
      <c r="K58" s="15">
        <f>IF(E58=0,"",F58/E58)</f>
        <v/>
      </c>
      <c r="L58" s="12" t="inlineStr">
        <is>
          <t>BV1VM3D6FEPu</t>
        </is>
      </c>
      <c r="M58" s="16" t="inlineStr">
        <is>
          <t>https://www.bilibili.com/video/BV1VM3D6FEPu</t>
        </is>
      </c>
    </row>
    <row r="59">
      <c r="A59" s="11" t="n">
        <v>58</v>
      </c>
      <c r="B59" s="12" t="inlineStr">
        <is>
          <t>美国领导人一直在拼命向美国人隐瞒真实的中国——我在哈尔滨彻底被震撼了</t>
        </is>
      </c>
      <c r="C59" s="12" t="inlineStr">
        <is>
          <t>ThatEvanGuy</t>
        </is>
      </c>
      <c r="D59" s="12" t="inlineStr">
        <is>
          <t>社会时政</t>
        </is>
      </c>
      <c r="E59" s="13" t="n">
        <v>108175</v>
      </c>
      <c r="F59" s="13" t="n">
        <v>6665</v>
      </c>
      <c r="G59" s="13" t="n">
        <v>2045</v>
      </c>
      <c r="H59" s="13" t="n">
        <v>1686</v>
      </c>
      <c r="I59" s="11">
        <f>TEXT(H59/86400,"[h]:mm:ss")</f>
        <v/>
      </c>
      <c r="J59" s="14" t="n">
        <v>46237</v>
      </c>
      <c r="K59" s="15">
        <f>IF(E59=0,"",F59/E59)</f>
        <v/>
      </c>
      <c r="L59" s="12" t="inlineStr">
        <is>
          <t>BV1xf3Z6MEsD</t>
        </is>
      </c>
      <c r="M59" s="16" t="inlineStr">
        <is>
          <t>https://www.bilibili.com/video/BV1xf3Z6MEsD</t>
        </is>
      </c>
    </row>
    <row r="60">
      <c r="A60" s="11" t="n">
        <v>59</v>
      </c>
      <c r="B60" s="12" t="inlineStr">
        <is>
          <t>在马尔代夫出cos！泳装芭芭拉～</t>
        </is>
      </c>
      <c r="C60" s="12" t="inlineStr">
        <is>
          <t>呜哝哝</t>
        </is>
      </c>
      <c r="D60" s="12" t="inlineStr">
        <is>
          <t>动画二次元</t>
        </is>
      </c>
      <c r="E60" s="13" t="n">
        <v>96861</v>
      </c>
      <c r="F60" s="13" t="n">
        <v>13167</v>
      </c>
      <c r="G60" s="13" t="n">
        <v>223</v>
      </c>
      <c r="H60" s="13" t="n">
        <v>82</v>
      </c>
      <c r="I60" s="11">
        <f>TEXT(H60/86400,"[h]:mm:ss")</f>
        <v/>
      </c>
      <c r="J60" s="14" t="n">
        <v>46236</v>
      </c>
      <c r="K60" s="15">
        <f>IF(E60=0,"",F60/E60)</f>
        <v/>
      </c>
      <c r="L60" s="12" t="inlineStr">
        <is>
          <t>BV14W3X6oEqP</t>
        </is>
      </c>
      <c r="M60" s="16" t="inlineStr">
        <is>
          <t>https://www.bilibili.com/video/BV14W3X6oEqP</t>
        </is>
      </c>
    </row>
    <row r="61">
      <c r="A61" s="11" t="n">
        <v>60</v>
      </c>
      <c r="B61" s="12" t="inlineStr">
        <is>
          <t>2万欧战车，整顿纽北～</t>
        </is>
      </c>
      <c r="C61" s="12" t="inlineStr">
        <is>
          <t>键盘车神教</t>
        </is>
      </c>
      <c r="D61" s="12" t="inlineStr">
        <is>
          <t>汽车</t>
        </is>
      </c>
      <c r="E61" s="13" t="n">
        <v>81973</v>
      </c>
      <c r="F61" s="13" t="n">
        <v>7149</v>
      </c>
      <c r="G61" s="13" t="n">
        <v>679</v>
      </c>
      <c r="H61" s="13" t="n">
        <v>880</v>
      </c>
      <c r="I61" s="11">
        <f>TEXT(H61/86400,"[h]:mm:ss")</f>
        <v/>
      </c>
      <c r="J61" s="14" t="n">
        <v>46237</v>
      </c>
      <c r="K61" s="15">
        <f>IF(E61=0,"",F61/E61)</f>
        <v/>
      </c>
      <c r="L61" s="12" t="inlineStr">
        <is>
          <t>BV1rDMQ6BEqo</t>
        </is>
      </c>
      <c r="M61" s="16" t="inlineStr">
        <is>
          <t>https://www.bilibili.com/video/BV1rDMQ6BEqo</t>
        </is>
      </c>
    </row>
    <row r="63">
      <c r="B63" s="17" t="inlineStr">
        <is>
          <t>排序：按播放量降序。第 9 列「时长」与第 11 列「点赞率」为公式列，由第 8/5/6 列计算得出。</t>
        </is>
      </c>
    </row>
  </sheetData>
  <autoFilter ref="A1:M6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3" customWidth="1" min="6" max="6"/>
    <col width="12" customWidth="1" min="7" max="7"/>
  </cols>
  <sheetData>
    <row r="1" ht="24" customHeight="1">
      <c r="A1" s="3" t="inlineStr">
        <is>
          <t>内容方向</t>
        </is>
      </c>
      <c r="B1" s="3" t="inlineStr">
        <is>
          <t>视频数</t>
        </is>
      </c>
      <c r="C1" s="3" t="inlineStr">
        <is>
          <t>占比</t>
        </is>
      </c>
      <c r="D1" s="3" t="inlineStr">
        <is>
          <t>总播放量</t>
        </is>
      </c>
      <c r="E1" s="3" t="inlineStr">
        <is>
          <t>平均播放量</t>
        </is>
      </c>
      <c r="F1" s="3" t="inlineStr">
        <is>
          <t>总点赞数</t>
        </is>
      </c>
      <c r="G1" s="3" t="inlineStr">
        <is>
          <t>平均点赞率</t>
        </is>
      </c>
    </row>
    <row r="2">
      <c r="A2" s="18" t="inlineStr">
        <is>
          <t>美食生活</t>
        </is>
      </c>
      <c r="B2" s="19">
        <f>COUNTIF(视频清单!$D$2:$D$61,$A2)</f>
        <v/>
      </c>
      <c r="C2" s="20">
        <f>B2/SUM($B$2:$B$12)</f>
        <v/>
      </c>
      <c r="D2" s="21">
        <f>SUMIF(视频清单!$D$2:$D$61,$A2,视频清单!$E$2:$E$61)</f>
        <v/>
      </c>
      <c r="E2" s="21">
        <f>IF(B2=0,"",D2/B2)</f>
        <v/>
      </c>
      <c r="F2" s="21">
        <f>SUMIF(视频清单!$D$2:$D$61,$A2,视频清单!$F$2:$F$61)</f>
        <v/>
      </c>
      <c r="G2" s="22">
        <f>IF(D2=0,"",F2/D2)</f>
        <v/>
      </c>
    </row>
    <row r="3">
      <c r="A3" s="18" t="inlineStr">
        <is>
          <t>娱乐鬼畜</t>
        </is>
      </c>
      <c r="B3" s="19">
        <f>COUNTIF(视频清单!$D$2:$D$61,$A3)</f>
        <v/>
      </c>
      <c r="C3" s="20">
        <f>B3/SUM($B$2:$B$12)</f>
        <v/>
      </c>
      <c r="D3" s="21">
        <f>SUMIF(视频清单!$D$2:$D$61,$A3,视频清单!$E$2:$E$61)</f>
        <v/>
      </c>
      <c r="E3" s="21">
        <f>IF(B3=0,"",D3/B3)</f>
        <v/>
      </c>
      <c r="F3" s="21">
        <f>SUMIF(视频清单!$D$2:$D$61,$A3,视频清单!$F$2:$F$61)</f>
        <v/>
      </c>
      <c r="G3" s="22">
        <f>IF(D3=0,"",F3/D3)</f>
        <v/>
      </c>
    </row>
    <row r="4">
      <c r="A4" s="18" t="inlineStr">
        <is>
          <t>动画二次元</t>
        </is>
      </c>
      <c r="B4" s="19">
        <f>COUNTIF(视频清单!$D$2:$D$61,$A4)</f>
        <v/>
      </c>
      <c r="C4" s="20">
        <f>B4/SUM($B$2:$B$12)</f>
        <v/>
      </c>
      <c r="D4" s="21">
        <f>SUMIF(视频清单!$D$2:$D$61,$A4,视频清单!$E$2:$E$61)</f>
        <v/>
      </c>
      <c r="E4" s="21">
        <f>IF(B4=0,"",D4/B4)</f>
        <v/>
      </c>
      <c r="F4" s="21">
        <f>SUMIF(视频清单!$D$2:$D$61,$A4,视频清单!$F$2:$F$61)</f>
        <v/>
      </c>
      <c r="G4" s="22">
        <f>IF(D4=0,"",F4/D4)</f>
        <v/>
      </c>
    </row>
    <row r="5">
      <c r="A5" s="18" t="inlineStr">
        <is>
          <t>知识科普</t>
        </is>
      </c>
      <c r="B5" s="19">
        <f>COUNTIF(视频清单!$D$2:$D$61,$A5)</f>
        <v/>
      </c>
      <c r="C5" s="20">
        <f>B5/SUM($B$2:$B$12)</f>
        <v/>
      </c>
      <c r="D5" s="21">
        <f>SUMIF(视频清单!$D$2:$D$61,$A5,视频清单!$E$2:$E$61)</f>
        <v/>
      </c>
      <c r="E5" s="21">
        <f>IF(B5=0,"",D5/B5)</f>
        <v/>
      </c>
      <c r="F5" s="21">
        <f>SUMIF(视频清单!$D$2:$D$61,$A5,视频清单!$F$2:$F$61)</f>
        <v/>
      </c>
      <c r="G5" s="22">
        <f>IF(D5=0,"",F5/D5)</f>
        <v/>
      </c>
    </row>
    <row r="6">
      <c r="A6" s="18" t="inlineStr">
        <is>
          <t>音乐</t>
        </is>
      </c>
      <c r="B6" s="19">
        <f>COUNTIF(视频清单!$D$2:$D$61,$A6)</f>
        <v/>
      </c>
      <c r="C6" s="20">
        <f>B6/SUM($B$2:$B$12)</f>
        <v/>
      </c>
      <c r="D6" s="21">
        <f>SUMIF(视频清单!$D$2:$D$61,$A6,视频清单!$E$2:$E$61)</f>
        <v/>
      </c>
      <c r="E6" s="21">
        <f>IF(B6=0,"",D6/B6)</f>
        <v/>
      </c>
      <c r="F6" s="21">
        <f>SUMIF(视频清单!$D$2:$D$61,$A6,视频清单!$F$2:$F$61)</f>
        <v/>
      </c>
      <c r="G6" s="22">
        <f>IF(D6=0,"",F6/D6)</f>
        <v/>
      </c>
    </row>
    <row r="7">
      <c r="A7" s="18" t="inlineStr">
        <is>
          <t>社会时政</t>
        </is>
      </c>
      <c r="B7" s="19">
        <f>COUNTIF(视频清单!$D$2:$D$61,$A7)</f>
        <v/>
      </c>
      <c r="C7" s="20">
        <f>B7/SUM($B$2:$B$12)</f>
        <v/>
      </c>
      <c r="D7" s="21">
        <f>SUMIF(视频清单!$D$2:$D$61,$A7,视频清单!$E$2:$E$61)</f>
        <v/>
      </c>
      <c r="E7" s="21">
        <f>IF(B7=0,"",D7/B7)</f>
        <v/>
      </c>
      <c r="F7" s="21">
        <f>SUMIF(视频清单!$D$2:$D$61,$A7,视频清单!$F$2:$F$61)</f>
        <v/>
      </c>
      <c r="G7" s="22">
        <f>IF(D7=0,"",F7/D7)</f>
        <v/>
      </c>
    </row>
    <row r="8">
      <c r="A8" s="18" t="inlineStr">
        <is>
          <t>影视解说</t>
        </is>
      </c>
      <c r="B8" s="19">
        <f>COUNTIF(视频清单!$D$2:$D$61,$A8)</f>
        <v/>
      </c>
      <c r="C8" s="20">
        <f>B8/SUM($B$2:$B$12)</f>
        <v/>
      </c>
      <c r="D8" s="21">
        <f>SUMIF(视频清单!$D$2:$D$61,$A8,视频清单!$E$2:$E$61)</f>
        <v/>
      </c>
      <c r="E8" s="21">
        <f>IF(B8=0,"",D8/B8)</f>
        <v/>
      </c>
      <c r="F8" s="21">
        <f>SUMIF(视频清单!$D$2:$D$61,$A8,视频清单!$F$2:$F$61)</f>
        <v/>
      </c>
      <c r="G8" s="22">
        <f>IF(D8=0,"",F8/D8)</f>
        <v/>
      </c>
    </row>
    <row r="9">
      <c r="A9" s="18" t="inlineStr">
        <is>
          <t>游戏</t>
        </is>
      </c>
      <c r="B9" s="19">
        <f>COUNTIF(视频清单!$D$2:$D$61,$A9)</f>
        <v/>
      </c>
      <c r="C9" s="20">
        <f>B9/SUM($B$2:$B$12)</f>
        <v/>
      </c>
      <c r="D9" s="21">
        <f>SUMIF(视频清单!$D$2:$D$61,$A9,视频清单!$E$2:$E$61)</f>
        <v/>
      </c>
      <c r="E9" s="21">
        <f>IF(B9=0,"",D9/B9)</f>
        <v/>
      </c>
      <c r="F9" s="21">
        <f>SUMIF(视频清单!$D$2:$D$61,$A9,视频清单!$F$2:$F$61)</f>
        <v/>
      </c>
      <c r="G9" s="22">
        <f>IF(D9=0,"",F9/D9)</f>
        <v/>
      </c>
    </row>
    <row r="10">
      <c r="A10" s="18" t="inlineStr">
        <is>
          <t>科技数码</t>
        </is>
      </c>
      <c r="B10" s="19">
        <f>COUNTIF(视频清单!$D$2:$D$61,$A10)</f>
        <v/>
      </c>
      <c r="C10" s="20">
        <f>B10/SUM($B$2:$B$12)</f>
        <v/>
      </c>
      <c r="D10" s="21">
        <f>SUMIF(视频清单!$D$2:$D$61,$A10,视频清单!$E$2:$E$61)</f>
        <v/>
      </c>
      <c r="E10" s="21">
        <f>IF(B10=0,"",D10/B10)</f>
        <v/>
      </c>
      <c r="F10" s="21">
        <f>SUMIF(视频清单!$D$2:$D$61,$A10,视频清单!$F$2:$F$61)</f>
        <v/>
      </c>
      <c r="G10" s="22">
        <f>IF(D10=0,"",F10/D10)</f>
        <v/>
      </c>
    </row>
    <row r="11">
      <c r="A11" s="18" t="inlineStr">
        <is>
          <t>汽车</t>
        </is>
      </c>
      <c r="B11" s="19">
        <f>COUNTIF(视频清单!$D$2:$D$61,$A11)</f>
        <v/>
      </c>
      <c r="C11" s="20">
        <f>B11/SUM($B$2:$B$12)</f>
        <v/>
      </c>
      <c r="D11" s="21">
        <f>SUMIF(视频清单!$D$2:$D$61,$A11,视频清单!$E$2:$E$61)</f>
        <v/>
      </c>
      <c r="E11" s="21">
        <f>IF(B11=0,"",D11/B11)</f>
        <v/>
      </c>
      <c r="F11" s="21">
        <f>SUMIF(视频清单!$D$2:$D$61,$A11,视频清单!$F$2:$F$61)</f>
        <v/>
      </c>
      <c r="G11" s="22">
        <f>IF(D11=0,"",F11/D11)</f>
        <v/>
      </c>
    </row>
    <row r="12">
      <c r="A12" s="18" t="inlineStr">
        <is>
          <t>体育</t>
        </is>
      </c>
      <c r="B12" s="19">
        <f>COUNTIF(视频清单!$D$2:$D$61,$A12)</f>
        <v/>
      </c>
      <c r="C12" s="20">
        <f>B12/SUM($B$2:$B$12)</f>
        <v/>
      </c>
      <c r="D12" s="21">
        <f>SUMIF(视频清单!$D$2:$D$61,$A12,视频清单!$E$2:$E$61)</f>
        <v/>
      </c>
      <c r="E12" s="21">
        <f>IF(B12=0,"",D12/B12)</f>
        <v/>
      </c>
      <c r="F12" s="21">
        <f>SUMIF(视频清单!$D$2:$D$61,$A12,视频清单!$F$2:$F$61)</f>
        <v/>
      </c>
      <c r="G12" s="22">
        <f>IF(D12=0,"",F12/D12)</f>
        <v/>
      </c>
    </row>
    <row r="13">
      <c r="A13" s="23" t="inlineStr">
        <is>
          <t>合计</t>
        </is>
      </c>
      <c r="B13" s="24">
        <f>SUM(B2:B12)</f>
        <v/>
      </c>
      <c r="C13" s="25">
        <f>SUM(C2:C12)</f>
        <v/>
      </c>
      <c r="D13" s="26">
        <f>SUM(D2:D12)</f>
        <v/>
      </c>
      <c r="E13" s="26">
        <f>IF(B13=0,"",D13/B13)</f>
        <v/>
      </c>
      <c r="F13" s="26">
        <f>SUM(F2:F12)</f>
        <v/>
      </c>
      <c r="G13" s="27">
        <f>IF(D13=0,"",F13/D13)</f>
        <v/>
      </c>
    </row>
    <row r="15">
      <c r="A15" s="17" t="inlineStr">
        <is>
          <t>「内容方向」为按标题人工归类，非 B 站官方分区；本表各列均由「视频清单」用 COUNTIF/SUMIF 计算得出。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2026-08-04T07:04:02Z</dcterms:created>
  <dcterms:modified xmlns:dcterms="http://purl.org/dc/terms/" xmlns:xsi="http://www.w3.org/2001/XMLSchema-instance" xsi:type="dcterms:W3CDTF">2026-08-04T07:04:02Z</dcterms:modified>
</cp:coreProperties>
</file>